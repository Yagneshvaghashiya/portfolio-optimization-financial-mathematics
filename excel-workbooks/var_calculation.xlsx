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_Inputs" sheetId="1" state="visible" r:id="rId3"/>
    <sheet name="VaR_Calculation" sheetId="2" state="visible" r:id="rId4"/>
    <sheet name="Component_VaR" sheetId="3" state="visible" r:id="rId5"/>
    <sheet name="Stress_Scenari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<sst xmlns="http://schemas.openxmlformats.org/spreadsheetml/2006/main" count="65" uniqueCount="48">
  <si>
    <t xml:space="preserve">Value at Risk (VaR) Calculation</t>
  </si>
  <si>
    <t xml:space="preserve">Portfolio Weights (15% Target Return)</t>
  </si>
  <si>
    <t xml:space="preserve">Stock</t>
  </si>
  <si>
    <t xml:space="preserve">NFLX</t>
  </si>
  <si>
    <t xml:space="preserve">V</t>
  </si>
  <si>
    <t xml:space="preserve">XOM</t>
  </si>
  <si>
    <t xml:space="preserve">PFE</t>
  </si>
  <si>
    <t xml:space="preserve">PG</t>
  </si>
  <si>
    <t xml:space="preserve">Weight</t>
  </si>
  <si>
    <t xml:space="preserve">Daily Covariance Matrix</t>
  </si>
  <si>
    <t xml:space="preserve">Portfolio Parameters</t>
  </si>
  <si>
    <t xml:space="preserve">Portfolio Value ($)</t>
  </si>
  <si>
    <t xml:space="preserve">Confidence Level</t>
  </si>
  <si>
    <t xml:space="preserve">Z-Score (5% VaR)</t>
  </si>
  <si>
    <t xml:space="preserve">Time Horizon (days)</t>
  </si>
  <si>
    <t xml:space="preserve">Portfolio Value at Risk (5% VaR)</t>
  </si>
  <si>
    <t xml:space="preserve">Portfolio Variance Calculation</t>
  </si>
  <si>
    <t xml:space="preserve">Portfolio Daily Variance (w'Σw)</t>
  </si>
  <si>
    <t xml:space="preserve">Portfolio Daily Volatility (σp)</t>
  </si>
  <si>
    <t xml:space="preserve">Value at Risk Calculation</t>
  </si>
  <si>
    <t xml:space="preserve">1-Day VaR (95% confidence)</t>
  </si>
  <si>
    <t xml:space="preserve">10-Day VaR (scaled)</t>
  </si>
  <si>
    <t xml:space="preserve">1-Month VaR (21 trading days)</t>
  </si>
  <si>
    <t xml:space="preserve">Interpretation:</t>
  </si>
  <si>
    <t xml:space="preserve">With 95% confidence, the maximum expected 1-day loss is:</t>
  </si>
  <si>
    <t xml:space="preserve">This means there is a 5% chance the portfolio will lose more than this amount in 1 trading day.</t>
  </si>
  <si>
    <t xml:space="preserve">VaR Decomposition - Asset Contributions</t>
  </si>
  <si>
    <t xml:space="preserve">Asset</t>
  </si>
  <si>
    <t xml:space="preserve">Marginal Contribution (MCi)</t>
  </si>
  <si>
    <t xml:space="preserve">Component Contribution (CCi)</t>
  </si>
  <si>
    <t xml:space="preserve">VaR Contribution ($)</t>
  </si>
  <si>
    <t xml:space="preserve">% of Total VaR</t>
  </si>
  <si>
    <t xml:space="preserve">TOTAL</t>
  </si>
  <si>
    <t xml:space="preserve">Verification:</t>
  </si>
  <si>
    <t xml:space="preserve">Total VaR should equal VaR from main calculation:</t>
  </si>
  <si>
    <t xml:space="preserve">Match?</t>
  </si>
  <si>
    <t xml:space="preserve">VaR Stress Testing Scenarios</t>
  </si>
  <si>
    <t xml:space="preserve">Scenario 1: Market Crash (-5% S&amp;P 500 in 1 day)</t>
  </si>
  <si>
    <t xml:space="preserve">Assumptions:</t>
  </si>
  <si>
    <t xml:space="preserve">S&amp;P 500 drops:</t>
  </si>
  <si>
    <t xml:space="preserve">Portfolio Beta (weighted average)</t>
  </si>
  <si>
    <t xml:space="preserve">Expected Portfolio Loss</t>
  </si>
  <si>
    <t xml:space="preserve">Scenario 2: Oil Price Crash (-15% oil in 1 day)</t>
  </si>
  <si>
    <t xml:space="preserve">Oil price drop:</t>
  </si>
  <si>
    <t xml:space="preserve">XOM Beta to Oil (estimated):</t>
  </si>
  <si>
    <t xml:space="preserve">Estimated XOM Drop</t>
  </si>
  <si>
    <t xml:space="preserve">Direct Impact on Portfolio (XOM weight)</t>
  </si>
  <si>
    <t xml:space="preserve">Estimated Total Impact (with correlations)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</si>
</sst>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\$#,##0.00"/>
    <numFmt numFmtId="168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B05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70AD47"/>
        <bgColor rgb="FF99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customFormat="false" ht="15" hidden="false" customHeight="false" outlineLevel="0" collapsed="false">
      <c r="A6" s="0" t="s">
        <v>8</v>
      </c>
      <c r="B6" s="4" t="n">
        <v>0.320604352</v>
      </c>
      <c r="C6" s="4" t="n">
        <v>0.264500202</v>
      </c>
      <c r="D6" s="4" t="n">
        <v>0.312999392</v>
      </c>
      <c r="E6" s="4" t="n">
        <v>0.101896054</v>
      </c>
      <c r="F6" s="4" t="n">
        <v>0</v>
      </c>
    </row>
    <row r="10" customFormat="false" ht="15" hidden="false" customHeight="false" outlineLevel="0" collapsed="false">
      <c r="A10" s="2" t="s">
        <v>9</v>
      </c>
    </row>
    <row r="11" customFormat="false" ht="15" hidden="false" customHeight="false" outlineLevel="0" collapsed="false">
      <c r="B11" s="5" t="s">
        <v>3</v>
      </c>
      <c r="C11" s="5" t="s">
        <v>4</v>
      </c>
      <c r="D11" s="5" t="s">
        <v>5</v>
      </c>
      <c r="E11" s="5" t="s">
        <v>6</v>
      </c>
      <c r="F11" s="5" t="s">
        <v>7</v>
      </c>
    </row>
    <row r="12" customFormat="false" ht="15" hidden="false" customHeight="false" outlineLevel="0" collapsed="false">
      <c r="A12" s="5" t="s">
        <v>3</v>
      </c>
      <c r="B12" s="0" t="n">
        <v>0.000455873</v>
      </c>
      <c r="C12" s="0" t="n">
        <v>0.000110848</v>
      </c>
      <c r="D12" s="0" t="n">
        <v>2.4931E-005</v>
      </c>
      <c r="E12" s="0" t="n">
        <v>-4.288E-006</v>
      </c>
      <c r="F12" s="0" t="n">
        <v>8.897E-006</v>
      </c>
    </row>
    <row r="13" customFormat="false" ht="15" hidden="false" customHeight="false" outlineLevel="0" collapsed="false">
      <c r="A13" s="5" t="s">
        <v>4</v>
      </c>
      <c r="B13" s="0" t="n">
        <v>0.000110848</v>
      </c>
      <c r="C13" s="0" t="n">
        <v>0.000204427</v>
      </c>
      <c r="D13" s="0" t="n">
        <v>6.2339E-005</v>
      </c>
      <c r="E13" s="0" t="n">
        <v>8.5259E-005</v>
      </c>
      <c r="F13" s="0" t="n">
        <v>6.3949E-005</v>
      </c>
    </row>
    <row r="14" customFormat="false" ht="15" hidden="false" customHeight="false" outlineLevel="0" collapsed="false">
      <c r="A14" s="5" t="s">
        <v>5</v>
      </c>
      <c r="B14" s="0" t="n">
        <v>2.4931E-005</v>
      </c>
      <c r="C14" s="0" t="n">
        <v>6.2339E-005</v>
      </c>
      <c r="D14" s="0" t="n">
        <v>0.000230317</v>
      </c>
      <c r="E14" s="0" t="n">
        <v>6.0506E-005</v>
      </c>
      <c r="F14" s="0" t="n">
        <v>4.0385E-005</v>
      </c>
    </row>
    <row r="15" customFormat="false" ht="15" hidden="false" customHeight="false" outlineLevel="0" collapsed="false">
      <c r="A15" s="5" t="s">
        <v>6</v>
      </c>
      <c r="B15" s="0" t="n">
        <v>-4.288E-006</v>
      </c>
      <c r="C15" s="0" t="n">
        <v>8.5259E-005</v>
      </c>
      <c r="D15" s="0" t="n">
        <v>6.0506E-005</v>
      </c>
      <c r="E15" s="0" t="n">
        <v>0.000270931</v>
      </c>
      <c r="F15" s="0" t="n">
        <v>6.6733E-005</v>
      </c>
    </row>
    <row r="16" customFormat="false" ht="15" hidden="false" customHeight="false" outlineLevel="0" collapsed="false">
      <c r="A16" s="5" t="s">
        <v>7</v>
      </c>
      <c r="B16" s="0" t="n">
        <v>8.897E-006</v>
      </c>
      <c r="C16" s="0" t="n">
        <v>6.3949E-005</v>
      </c>
      <c r="D16" s="0" t="n">
        <v>4.0385E-005</v>
      </c>
      <c r="E16" s="0" t="n">
        <v>6.6733E-005</v>
      </c>
      <c r="F16" s="0" t="n">
        <v>0.00014134</v>
      </c>
    </row>
    <row r="20" customFormat="false" ht="15" hidden="false" customHeight="false" outlineLevel="0" collapsed="false">
      <c r="A20" s="2" t="s">
        <v>10</v>
      </c>
    </row>
    <row r="22" customFormat="false" ht="15" hidden="false" customHeight="false" outlineLevel="0" collapsed="false">
      <c r="A22" s="0" t="s">
        <v>11</v>
      </c>
      <c r="B22" s="6" t="n">
        <v>1000000</v>
      </c>
    </row>
    <row r="23" customFormat="false" ht="15" hidden="false" customHeight="false" outlineLevel="0" collapsed="false">
      <c r="A23" s="0" t="s">
        <v>12</v>
      </c>
      <c r="B23" s="7" t="n">
        <v>0.95</v>
      </c>
    </row>
    <row r="24" customFormat="false" ht="15" hidden="false" customHeight="false" outlineLevel="0" collapsed="false">
      <c r="A24" s="0" t="s">
        <v>13</v>
      </c>
      <c r="B24" s="4" t="n">
        <v>1.645</v>
      </c>
    </row>
    <row r="25" customFormat="false" ht="15" hidden="false" customHeight="false" outlineLevel="0" collapsed="false">
      <c r="A25" s="0" t="s">
        <v>14</v>
      </c>
      <c r="B25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15</v>
      </c>
    </row>
    <row r="3" customFormat="false" ht="15" hidden="false" customHeight="false" outlineLevel="0" collapsed="false">
      <c r="A3" s="2" t="s">
        <v>16</v>
      </c>
    </row>
    <row r="5" customFormat="false" ht="15" hidden="false" customHeight="false" outlineLevel="0" collapsed="false">
      <c r="A5" s="0" t="s">
        <v>17</v>
      </c>
      <c r="B5" s="0" t="n">
        <f aca="false">MMULT(MMULT(Portfolio_Inputs!B6:F6,Portfolio_Inputs!B12:F16),TRANSPOSE(Portfolio_Inputs!B6:F6))</f>
        <v>0.000128836871243441</v>
      </c>
    </row>
    <row r="6" customFormat="false" ht="15" hidden="false" customHeight="false" outlineLevel="0" collapsed="false">
      <c r="A6" s="0" t="s">
        <v>18</v>
      </c>
      <c r="B6" s="0" t="n">
        <f aca="false">SQRT(B5)</f>
        <v>0.0113506330767689</v>
      </c>
    </row>
    <row r="9" customFormat="false" ht="15" hidden="false" customHeight="false" outlineLevel="0" collapsed="false">
      <c r="A9" s="2" t="s">
        <v>19</v>
      </c>
    </row>
    <row r="11" customFormat="false" ht="15" hidden="false" customHeight="false" outlineLevel="0" collapsed="false">
      <c r="A11" s="0" t="s">
        <v>20</v>
      </c>
      <c r="B11" s="8" t="n">
        <f aca="false">Portfolio_Inputs!B22*Portfolio_Inputs!B24*B6</f>
        <v>18671.7914112849</v>
      </c>
    </row>
    <row r="12" customFormat="false" ht="15" hidden="false" customHeight="false" outlineLevel="0" collapsed="false">
      <c r="A12" s="0" t="s">
        <v>21</v>
      </c>
      <c r="B12" s="8" t="n">
        <f aca="false">B11*SQRT(10)</f>
        <v>59045.3888552301</v>
      </c>
    </row>
    <row r="13" customFormat="false" ht="15" hidden="false" customHeight="false" outlineLevel="0" collapsed="false">
      <c r="A13" s="0" t="s">
        <v>22</v>
      </c>
      <c r="B13" s="8" t="n">
        <f aca="false">B11*SQRT(21)</f>
        <v>85564.8975026394</v>
      </c>
    </row>
    <row r="16" customFormat="false" ht="15" hidden="false" customHeight="false" outlineLevel="0" collapsed="false">
      <c r="A16" s="5" t="s">
        <v>23</v>
      </c>
    </row>
    <row r="17" customFormat="false" ht="15" hidden="false" customHeight="false" outlineLevel="0" collapsed="false">
      <c r="A17" s="0" t="s">
        <v>24</v>
      </c>
    </row>
    <row r="18" customFormat="false" ht="15" hidden="false" customHeight="false" outlineLevel="0" collapsed="false">
      <c r="A18" s="0" t="str">
        <f aca="false">TEXT(B11,"$#,##0.00")</f>
        <v>$18,671.79</v>
      </c>
    </row>
    <row r="20" customFormat="false" ht="15" hidden="false" customHeight="false" outlineLevel="0" collapsed="false">
      <c r="A20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26</v>
      </c>
    </row>
    <row r="3" customFormat="false" ht="15" hidden="false" customHeight="false" outlineLevel="0" collapsed="false">
      <c r="A3" s="9" t="s">
        <v>27</v>
      </c>
      <c r="B3" s="9" t="s">
        <v>8</v>
      </c>
      <c r="C3" s="9" t="s">
        <v>28</v>
      </c>
      <c r="D3" s="9" t="s">
        <v>29</v>
      </c>
      <c r="E3" s="9" t="s">
        <v>30</v>
      </c>
      <c r="F3" s="9" t="s">
        <v>31</v>
      </c>
    </row>
    <row r="4" customFormat="false" ht="15" hidden="false" customHeight="false" outlineLevel="0" collapsed="false">
      <c r="A4" s="0" t="s">
        <v>3</v>
      </c>
      <c r="B4" s="0" t="n">
        <f aca="false">Portfolio_Inputs!B6</f>
        <v>0.320604352</v>
      </c>
      <c r="C4" s="0" t="n">
        <v>0.016108413</v>
      </c>
      <c r="D4" s="0" t="n">
        <f aca="false">B4*C4</f>
        <v>0.00516442731161338</v>
      </c>
      <c r="E4" s="8" t="n">
        <f aca="false">D4*Portfolio_Inputs!B24*Portfolio_Inputs!B22</f>
        <v>8495.482927604</v>
      </c>
      <c r="F4" s="10" t="n">
        <f aca="false">E4/SUM(E$4:E$8)</f>
        <v>0.454990355077074</v>
      </c>
    </row>
    <row r="5" customFormat="false" ht="15" hidden="false" customHeight="false" outlineLevel="0" collapsed="false">
      <c r="A5" s="0" t="s">
        <v>4</v>
      </c>
      <c r="B5" s="0" t="n">
        <f aca="false">Portfolio_Inputs!C6</f>
        <v>0.264500202</v>
      </c>
      <c r="C5" s="0" t="n">
        <v>0.010379052</v>
      </c>
      <c r="D5" s="0" t="n">
        <f aca="false">B5*C5</f>
        <v>0.0027452613505685</v>
      </c>
      <c r="E5" s="8" t="n">
        <f aca="false">D5*Portfolio_Inputs!B24*Portfolio_Inputs!B22</f>
        <v>4515.95492168519</v>
      </c>
      <c r="F5" s="10" t="n">
        <f aca="false">E5/SUM(E$4:E$8)</f>
        <v>0.241859815485392</v>
      </c>
    </row>
    <row r="6" customFormat="false" ht="15" hidden="false" customHeight="false" outlineLevel="0" collapsed="false">
      <c r="A6" s="0" t="s">
        <v>5</v>
      </c>
      <c r="B6" s="0" t="n">
        <f aca="false">Portfolio_Inputs!D6</f>
        <v>0.312999392</v>
      </c>
      <c r="C6" s="0" t="n">
        <v>0.009051131</v>
      </c>
      <c r="D6" s="0" t="n">
        <f aca="false">B6*C6</f>
        <v>0.00283299849991235</v>
      </c>
      <c r="E6" s="8" t="n">
        <f aca="false">D6*Portfolio_Inputs!B24*Portfolio_Inputs!B22</f>
        <v>4660.28253235582</v>
      </c>
      <c r="F6" s="10" t="n">
        <f aca="false">E6/SUM(E$4:E$8)</f>
        <v>0.249589531545804</v>
      </c>
    </row>
    <row r="7" customFormat="false" ht="15" hidden="false" customHeight="false" outlineLevel="0" collapsed="false">
      <c r="A7" s="0" t="s">
        <v>6</v>
      </c>
      <c r="B7" s="0" t="n">
        <f aca="false">Portfolio_Inputs!E6</f>
        <v>0.101896054</v>
      </c>
      <c r="C7" s="0" t="n">
        <v>0.005966307</v>
      </c>
      <c r="D7" s="0" t="n">
        <f aca="false">B7*C7</f>
        <v>0.000607943140252578</v>
      </c>
      <c r="E7" s="8" t="n">
        <f aca="false">D7*Portfolio_Inputs!B24*Portfolio_Inputs!B22</f>
        <v>1000.06646571549</v>
      </c>
      <c r="F7" s="10" t="n">
        <f aca="false">E7/SUM(E$4:E$8)</f>
        <v>0.0535602978917287</v>
      </c>
    </row>
    <row r="8" customFormat="false" ht="15" hidden="false" customHeight="false" outlineLevel="0" collapsed="false">
      <c r="A8" s="0" t="s">
        <v>7</v>
      </c>
      <c r="B8" s="0" t="n">
        <f aca="false">Portfolio_Inputs!F6</f>
        <v>0</v>
      </c>
      <c r="C8" s="0" t="n">
        <v>0.00345419</v>
      </c>
      <c r="D8" s="0" t="n">
        <f aca="false">B8*C8</f>
        <v>0</v>
      </c>
      <c r="E8" s="8" t="n">
        <f aca="false">D8*Portfolio_Inputs!B24*Portfolio_Inputs!B22</f>
        <v>0</v>
      </c>
      <c r="F8" s="10" t="n">
        <f aca="false">E8/SUM(E$4:E$8)</f>
        <v>0</v>
      </c>
    </row>
    <row r="10" customFormat="false" ht="15" hidden="false" customHeight="false" outlineLevel="0" collapsed="false">
      <c r="A10" s="5" t="s">
        <v>32</v>
      </c>
      <c r="E10" s="11" t="n">
        <f aca="false">SUM(E4:E8)</f>
        <v>18671.7868473605</v>
      </c>
      <c r="F10" s="12" t="n">
        <f aca="false">SUM(F4:F8)</f>
        <v>1</v>
      </c>
    </row>
    <row r="13" customFormat="false" ht="15" hidden="false" customHeight="false" outlineLevel="0" collapsed="false">
      <c r="A13" s="5" t="s">
        <v>33</v>
      </c>
    </row>
    <row r="14" customFormat="false" ht="15" hidden="false" customHeight="false" outlineLevel="0" collapsed="false">
      <c r="A14" s="0" t="s">
        <v>34</v>
      </c>
      <c r="B14" s="8" t="n">
        <f aca="false">VaR_Calculation!B11</f>
        <v>18671.7914112849</v>
      </c>
    </row>
    <row r="15" customFormat="false" ht="15" hidden="false" customHeight="false" outlineLevel="0" collapsed="false">
      <c r="A15" s="0" t="s">
        <v>35</v>
      </c>
      <c r="B15" s="13" t="str">
        <f aca="false">IF(ABS(E10-B14)&lt;1,"✓ VERIFIED","✗ ERROR")</f>
        <v>✓ VERIFIED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36</v>
      </c>
    </row>
    <row r="3" customFormat="false" ht="15" hidden="false" customHeight="false" outlineLevel="0" collapsed="false">
      <c r="A3" s="2" t="s">
        <v>37</v>
      </c>
    </row>
    <row r="5" customFormat="false" ht="15" hidden="false" customHeight="false" outlineLevel="0" collapsed="false">
      <c r="A5" s="0" t="s">
        <v>38</v>
      </c>
    </row>
    <row r="6" customFormat="false" ht="15" hidden="false" customHeight="false" outlineLevel="0" collapsed="false">
      <c r="A6" s="0" t="s">
        <v>39</v>
      </c>
      <c r="B6" s="7" t="n">
        <v>-0.05</v>
      </c>
    </row>
    <row r="8" customFormat="false" ht="15" hidden="false" customHeight="false" outlineLevel="0" collapsed="false">
      <c r="A8" s="0" t="s">
        <v>40</v>
      </c>
      <c r="B8" s="0" t="n">
        <f aca="false">0.320604352*0.839+0.264500202*0.786+0.312999392*0.533+0.101896054*0.482</f>
        <v>0.692826784064</v>
      </c>
    </row>
    <row r="9" customFormat="false" ht="15" hidden="false" customHeight="false" outlineLevel="0" collapsed="false">
      <c r="A9" s="0" t="s">
        <v>41</v>
      </c>
      <c r="B9" s="8" t="n">
        <f aca="false">B8*B6*Portfolio_Inputs!B22</f>
        <v>-34641.3392032</v>
      </c>
    </row>
    <row r="12" customFormat="false" ht="15" hidden="false" customHeight="false" outlineLevel="0" collapsed="false">
      <c r="A12" s="2" t="s">
        <v>42</v>
      </c>
    </row>
    <row r="14" customFormat="false" ht="15" hidden="false" customHeight="false" outlineLevel="0" collapsed="false">
      <c r="A14" s="0" t="s">
        <v>38</v>
      </c>
    </row>
    <row r="15" customFormat="false" ht="15" hidden="false" customHeight="false" outlineLevel="0" collapsed="false">
      <c r="A15" s="0" t="s">
        <v>43</v>
      </c>
      <c r="B15" s="7" t="n">
        <v>-0.15</v>
      </c>
    </row>
    <row r="16" customFormat="false" ht="15" hidden="false" customHeight="false" outlineLevel="0" collapsed="false">
      <c r="A16" s="0" t="s">
        <v>44</v>
      </c>
      <c r="B16" s="4" t="n">
        <v>0.8</v>
      </c>
    </row>
    <row r="18" customFormat="false" ht="15" hidden="false" customHeight="false" outlineLevel="0" collapsed="false">
      <c r="A18" s="0" t="s">
        <v>45</v>
      </c>
      <c r="B18" s="14" t="n">
        <f aca="false">B16*B15</f>
        <v>-0.12</v>
      </c>
    </row>
    <row r="19" customFormat="false" ht="15" hidden="false" customHeight="false" outlineLevel="0" collapsed="false">
      <c r="A19" s="0" t="s">
        <v>46</v>
      </c>
      <c r="B19" s="8" t="n">
        <f aca="false">0.312999392*B18*Portfolio_Inputs!B22</f>
        <v>-37559.92704</v>
      </c>
    </row>
    <row r="20" customFormat="false" ht="15" hidden="false" customHeight="false" outlineLevel="0" collapsed="false">
      <c r="A20" s="0" t="s">
        <v>47</v>
      </c>
      <c r="B20" s="8" t="n">
        <f aca="false">B19*1.12</f>
        <v>-42067.1182848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2026-05-06T23:04:27Z</dcterms:created>
  <dc:creator>openpyxl</dc:creator>
  <dc:description/>
  <dc:language>en-US</dc:language>
  <cp:lastModifiedBy/>
  <dcterms:modified xsi:type="dcterms:W3CDTF">2026-05-06T23:04:27Z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