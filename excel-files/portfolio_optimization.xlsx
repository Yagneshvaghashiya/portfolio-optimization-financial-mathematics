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_Data" sheetId="1" state="visible" r:id="rId3"/>
    <sheet name="Returns_Calculation" sheetId="2" state="visible" r:id="rId4"/>
    <sheet name="Covariance_Matrix" sheetId="3" state="visible" r:id="rId5"/>
    <sheet name="Portfolio_Optimiz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<sst xmlns="http://schemas.openxmlformats.org/spreadsheetml/2006/main" count="78" uniqueCount="51">
  <si>
    <t xml:space="preserve">Date</t>
  </si>
  <si>
    <t xml:space="preserve">NFLX_AdjClose</t>
  </si>
  <si>
    <t xml:space="preserve">V_AdjClose</t>
  </si>
  <si>
    <t xml:space="preserve">XOM_AdjClose</t>
  </si>
  <si>
    <t xml:space="preserve">PFE_AdjClose</t>
  </si>
  <si>
    <t xml:space="preserve">PG_AdjClose</t>
  </si>
  <si>
    <t xml:space="preserve">SP500_AdjClose</t>
  </si>
  <si>
    <t xml:space="preserve">2025-01-13</t>
  </si>
  <si>
    <t xml:space="preserve">2025-01-14</t>
  </si>
  <si>
    <t xml:space="preserve">2025-01-15</t>
  </si>
  <si>
    <t xml:space="preserve">NOTE: Add your full historical data (Jan 2025 - Jan 2026) starting from row 2</t>
  </si>
  <si>
    <t xml:space="preserve">NFLX_Return</t>
  </si>
  <si>
    <t xml:space="preserve">V_Return</t>
  </si>
  <si>
    <t xml:space="preserve">XOM_Return</t>
  </si>
  <si>
    <t xml:space="preserve">PFE_Return</t>
  </si>
  <si>
    <t xml:space="preserve">PG_Return</t>
  </si>
  <si>
    <t xml:space="preserve">Summary Statistics</t>
  </si>
  <si>
    <t xml:space="preserve">Stock</t>
  </si>
  <si>
    <t xml:space="preserve">NFLX</t>
  </si>
  <si>
    <t xml:space="preserve">V</t>
  </si>
  <si>
    <t xml:space="preserve">XOM</t>
  </si>
  <si>
    <t xml:space="preserve">PFE</t>
  </si>
  <si>
    <t xml:space="preserve">PG</t>
  </si>
  <si>
    <t xml:space="preserve">Mean Daily Return</t>
  </si>
  <si>
    <t xml:space="preserve">Annual Expected Return</t>
  </si>
  <si>
    <t xml:space="preserve">Daily Volatility</t>
  </si>
  <si>
    <t xml:space="preserve">Annual Volatility</t>
  </si>
  <si>
    <t xml:space="preserve">Annual Covariance Matrix</t>
  </si>
  <si>
    <t xml:space="preserve">Annual Correlation Matrix</t>
  </si>
  <si>
    <t xml:space="preserve">Portfolio Optimization - Use Excel Solver</t>
  </si>
  <si>
    <t xml:space="preserve">Decision Variables (Portfolio Weights)</t>
  </si>
  <si>
    <t xml:space="preserve">Sum</t>
  </si>
  <si>
    <t xml:space="preserve">Weight</t>
  </si>
  <si>
    <t xml:space="preserve">Annual Expected Returns</t>
  </si>
  <si>
    <t xml:space="preserve">Portfolio Metrics</t>
  </si>
  <si>
    <t xml:space="preserve">Target Return</t>
  </si>
  <si>
    <t xml:space="preserve">Portfolio Expected Return</t>
  </si>
  <si>
    <t xml:space="preserve">Portfolio Variance</t>
  </si>
  <si>
    <t xml:space="preserve">Portfolio Std Dev (Risk)</t>
  </si>
  <si>
    <t xml:space="preserve">SOLVER SETUP INSTRUCTIONS:</t>
  </si>
  <si>
    <t xml:space="preserve">1. Go to Data → Solver</t>
  </si>
  <si>
    <t xml:space="preserve">2. Set Objective: B13 (Portfolio Variance)</t>
  </si>
  <si>
    <t xml:space="preserve">3. To: Min</t>
  </si>
  <si>
    <t xml:space="preserve">4. By Changing Variable Cells: B5:F5 (Weights)</t>
  </si>
  <si>
    <t xml:space="preserve">5. Subject to Constraints:</t>
  </si>
  <si>
    <t xml:space="preserve">   - B12 (Portfolio Return) = B11 (Target Return)</t>
  </si>
  <si>
    <t xml:space="preserve">   - G5 (Sum of Weights) = 1</t>
  </si>
  <si>
    <t xml:space="preserve">   - B5:F5 &gt;= 0 (No short selling)</t>
  </si>
  <si>
    <t xml:space="preserve">6. Solving Method: GRG Nonlinear</t>
  </si>
  <si>
    <t xml:space="preserve">7. Click Solve</t>
  </si>
  <si>
    <t xml:space="preserve">8. Change B11 to test different target returns (8%, 10%, 12%, 15%, 18%)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</si>
</sst>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11"/>
      <color rgb="FFFF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84.03</v>
      </c>
      <c r="C2" s="0" t="n">
        <v>304.76</v>
      </c>
      <c r="D2" s="0" t="n">
        <v>105.42</v>
      </c>
      <c r="E2" s="0" t="n">
        <v>24.99</v>
      </c>
      <c r="F2" s="0" t="n">
        <v>154.75</v>
      </c>
      <c r="G2" s="0" t="n">
        <v>5836.22</v>
      </c>
    </row>
    <row r="3" customFormat="false" ht="15" hidden="false" customHeight="false" outlineLevel="0" collapsed="false">
      <c r="A3" s="0" t="s">
        <v>8</v>
      </c>
      <c r="B3" s="0" t="n">
        <v>82.84</v>
      </c>
      <c r="C3" s="0" t="n">
        <v>306.91</v>
      </c>
      <c r="D3" s="0" t="n">
        <v>105.84</v>
      </c>
      <c r="E3" s="0" t="n">
        <v>24.63</v>
      </c>
      <c r="F3" s="0" t="n">
        <v>155.63</v>
      </c>
      <c r="G3" s="0" t="n">
        <v>5842.91</v>
      </c>
    </row>
    <row r="4" customFormat="false" ht="15" hidden="false" customHeight="false" outlineLevel="0" collapsed="false">
      <c r="A4" s="0" t="s">
        <v>9</v>
      </c>
      <c r="B4" s="0" t="n">
        <v>84.83</v>
      </c>
      <c r="C4" s="0" t="n">
        <v>314.05</v>
      </c>
      <c r="D4" s="0" t="n">
        <v>107.56</v>
      </c>
      <c r="E4" s="0" t="n">
        <v>24.45</v>
      </c>
      <c r="F4" s="0" t="n">
        <v>155.54</v>
      </c>
      <c r="G4" s="0" t="n">
        <v>5949.91</v>
      </c>
    </row>
    <row r="252" customFormat="false" ht="15" hidden="false" customHeight="false" outlineLevel="0" collapsed="false">
      <c r="A252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customFormat="false" ht="15" hidden="false" customHeight="false" outlineLevel="0" collapsed="false">
      <c r="A2" s="0" t="str">
        <f aca="false">Historical_Data!A3</f>
        <v>2025-01-14</v>
      </c>
      <c r="B2" s="0" t="n">
        <f aca="false">(Historical_Data!B3-Historical_Data!B2)/Historical_Data!B2</f>
        <v>-0.0141616089491848</v>
      </c>
      <c r="C2" s="0" t="n">
        <f aca="false">(Historical_Data!C3-Historical_Data!C2)/Historical_Data!C2</f>
        <v>0.00705473159207256</v>
      </c>
      <c r="D2" s="0" t="n">
        <f aca="false">(Historical_Data!D3-Historical_Data!D2)/Historical_Data!D2</f>
        <v>0.00398406374501994</v>
      </c>
      <c r="E2" s="0" t="n">
        <f aca="false">(Historical_Data!E3-Historical_Data!E2)/Historical_Data!E2</f>
        <v>-0.0144057623049219</v>
      </c>
      <c r="F2" s="0" t="n">
        <f aca="false">(Historical_Data!F3-Historical_Data!F2)/Historical_Data!F2</f>
        <v>0.00568659127625199</v>
      </c>
    </row>
    <row r="255" customFormat="false" ht="15" hidden="false" customHeight="false" outlineLevel="0" collapsed="false">
      <c r="A255" s="4" t="s">
        <v>16</v>
      </c>
    </row>
    <row r="257" customFormat="false" ht="15" hidden="false" customHeight="false" outlineLevel="0" collapsed="false">
      <c r="A257" s="0" t="s">
        <v>17</v>
      </c>
      <c r="B257" s="0" t="s">
        <v>18</v>
      </c>
      <c r="C257" s="0" t="s">
        <v>19</v>
      </c>
      <c r="D257" s="0" t="s">
        <v>20</v>
      </c>
      <c r="E257" s="0" t="s">
        <v>21</v>
      </c>
      <c r="F257" s="0" t="s">
        <v>22</v>
      </c>
    </row>
    <row r="258" customFormat="false" ht="15" hidden="false" customHeight="false" outlineLevel="0" collapsed="false">
      <c r="A258" s="5" t="s">
        <v>23</v>
      </c>
      <c r="B258" s="6" t="n">
        <f aca="false">AVERAGE(B2:B251)</f>
        <v>-0.0141616089491848</v>
      </c>
      <c r="C258" s="6" t="n">
        <f aca="false">AVERAGE(B2:B251)</f>
        <v>-0.0141616089491848</v>
      </c>
      <c r="D258" s="6" t="n">
        <f aca="false">AVERAGE(B2:B251)</f>
        <v>-0.0141616089491848</v>
      </c>
      <c r="E258" s="6" t="n">
        <f aca="false">AVERAGE(B2:B251)</f>
        <v>-0.0141616089491848</v>
      </c>
      <c r="F258" s="6" t="n">
        <f aca="false">AVERAGE(B2:B251)</f>
        <v>-0.0141616089491848</v>
      </c>
    </row>
    <row r="259" customFormat="false" ht="15" hidden="false" customHeight="false" outlineLevel="0" collapsed="false">
      <c r="A259" s="5" t="s">
        <v>24</v>
      </c>
      <c r="B259" s="6" t="n">
        <f aca="false">B258*252</f>
        <v>-3.56872545519457</v>
      </c>
      <c r="C259" s="6" t="n">
        <f aca="false">B258*252</f>
        <v>-3.56872545519457</v>
      </c>
      <c r="D259" s="6" t="n">
        <f aca="false">B258*252</f>
        <v>-3.56872545519457</v>
      </c>
      <c r="E259" s="6" t="n">
        <f aca="false">B258*252</f>
        <v>-3.56872545519457</v>
      </c>
      <c r="F259" s="6" t="n">
        <f aca="false">B258*252</f>
        <v>-3.56872545519457</v>
      </c>
    </row>
    <row r="260" customFormat="false" ht="15" hidden="false" customHeight="false" outlineLevel="0" collapsed="false">
      <c r="A260" s="5" t="s">
        <v>25</v>
      </c>
      <c r="B260" s="6" t="e">
        <f aca="false">STDEV(B2:B251)</f>
        <v>#DIV/0!</v>
      </c>
      <c r="C260" s="6" t="e">
        <f aca="false">STDEV(B2:B251)</f>
        <v>#DIV/0!</v>
      </c>
      <c r="D260" s="6" t="e">
        <f aca="false">STDEV(B2:B251)</f>
        <v>#DIV/0!</v>
      </c>
      <c r="E260" s="6" t="e">
        <f aca="false">STDEV(B2:B251)</f>
        <v>#DIV/0!</v>
      </c>
      <c r="F260" s="6" t="e">
        <f aca="false">STDEV(B2:B251)</f>
        <v>#DIV/0!</v>
      </c>
    </row>
    <row r="261" customFormat="false" ht="15" hidden="false" customHeight="false" outlineLevel="0" collapsed="false">
      <c r="A261" s="5" t="s">
        <v>26</v>
      </c>
      <c r="B261" s="6" t="e">
        <f aca="false">B260*SQRT(252)</f>
        <v>#DIV/0!</v>
      </c>
      <c r="C261" s="6" t="e">
        <f aca="false">B260*SQRT(252)</f>
        <v>#DIV/0!</v>
      </c>
      <c r="D261" s="6" t="e">
        <f aca="false">B260*SQRT(252)</f>
        <v>#DIV/0!</v>
      </c>
      <c r="E261" s="6" t="e">
        <f aca="false">B260*SQRT(252)</f>
        <v>#DIV/0!</v>
      </c>
      <c r="F261" s="6" t="e">
        <f aca="false">B260*SQRT(252)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7" t="s">
        <v>27</v>
      </c>
    </row>
    <row r="2" customFormat="false" ht="15" hidden="false" customHeight="false" outlineLevel="0" collapsed="false"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</row>
    <row r="3" customFormat="false" ht="15" hidden="false" customHeight="false" outlineLevel="0" collapsed="false">
      <c r="A3" s="5" t="s">
        <v>18</v>
      </c>
      <c r="B3" s="6" t="e">
        <f aca="false">covariance.s(Returns_Calculation!B:B,Returns_Calculation!B:B)*252</f>
        <v>#NAME?</v>
      </c>
      <c r="C3" s="6" t="e">
        <f aca="false">covariance.s(Returns_Calculation!B:B,Returns_Calculation!C:C)*252</f>
        <v>#NAME?</v>
      </c>
      <c r="D3" s="6" t="e">
        <f aca="false">covariance.s(Returns_Calculation!B:B,Returns_Calculation!D:D)*252</f>
        <v>#NAME?</v>
      </c>
      <c r="E3" s="6" t="e">
        <f aca="false">covariance.s(Returns_Calculation!B:B,Returns_Calculation!E:E)*252</f>
        <v>#NAME?</v>
      </c>
      <c r="F3" s="6" t="e">
        <f aca="false">covariance.s(Returns_Calculation!B:B,Returns_Calculation!F:F)*252</f>
        <v>#NAME?</v>
      </c>
    </row>
    <row r="4" customFormat="false" ht="15" hidden="false" customHeight="false" outlineLevel="0" collapsed="false">
      <c r="A4" s="5" t="s">
        <v>19</v>
      </c>
      <c r="B4" s="6" t="e">
        <f aca="false">covariance.s(Returns_Calculation!C:C,Returns_Calculation!B:B)*252</f>
        <v>#NAME?</v>
      </c>
      <c r="C4" s="6" t="e">
        <f aca="false">covariance.s(Returns_Calculation!C:C,Returns_Calculation!C:C)*252</f>
        <v>#NAME?</v>
      </c>
      <c r="D4" s="6" t="e">
        <f aca="false">covariance.s(Returns_Calculation!C:C,Returns_Calculation!D:D)*252</f>
        <v>#NAME?</v>
      </c>
      <c r="E4" s="6" t="e">
        <f aca="false">covariance.s(Returns_Calculation!C:C,Returns_Calculation!E:E)*252</f>
        <v>#NAME?</v>
      </c>
      <c r="F4" s="6" t="e">
        <f aca="false">covariance.s(Returns_Calculation!C:C,Returns_Calculation!F:F)*252</f>
        <v>#NAME?</v>
      </c>
    </row>
    <row r="5" customFormat="false" ht="15" hidden="false" customHeight="false" outlineLevel="0" collapsed="false">
      <c r="A5" s="5" t="s">
        <v>20</v>
      </c>
      <c r="B5" s="6" t="e">
        <f aca="false">covariance.s(Returns_Calculation!D:D,Returns_Calculation!B:B)*252</f>
        <v>#NAME?</v>
      </c>
      <c r="C5" s="6" t="e">
        <f aca="false">covariance.s(Returns_Calculation!D:D,Returns_Calculation!C:C)*252</f>
        <v>#NAME?</v>
      </c>
      <c r="D5" s="6" t="e">
        <f aca="false">covariance.s(Returns_Calculation!D:D,Returns_Calculation!D:D)*252</f>
        <v>#NAME?</v>
      </c>
      <c r="E5" s="6" t="e">
        <f aca="false">covariance.s(Returns_Calculation!D:D,Returns_Calculation!E:E)*252</f>
        <v>#NAME?</v>
      </c>
      <c r="F5" s="6" t="e">
        <f aca="false">covariance.s(Returns_Calculation!D:D,Returns_Calculation!F:F)*252</f>
        <v>#NAME?</v>
      </c>
    </row>
    <row r="6" customFormat="false" ht="15" hidden="false" customHeight="false" outlineLevel="0" collapsed="false">
      <c r="A6" s="5" t="s">
        <v>21</v>
      </c>
      <c r="B6" s="6" t="e">
        <f aca="false">covariance.s(Returns_Calculation!E:E,Returns_Calculation!B:B)*252</f>
        <v>#NAME?</v>
      </c>
      <c r="C6" s="6" t="e">
        <f aca="false">covariance.s(Returns_Calculation!E:E,Returns_Calculation!C:C)*252</f>
        <v>#NAME?</v>
      </c>
      <c r="D6" s="6" t="e">
        <f aca="false">covariance.s(Returns_Calculation!E:E,Returns_Calculation!D:D)*252</f>
        <v>#NAME?</v>
      </c>
      <c r="E6" s="6" t="e">
        <f aca="false">covariance.s(Returns_Calculation!E:E,Returns_Calculation!E:E)*252</f>
        <v>#NAME?</v>
      </c>
      <c r="F6" s="6" t="e">
        <f aca="false">covariance.s(Returns_Calculation!E:E,Returns_Calculation!F:F)*252</f>
        <v>#NAME?</v>
      </c>
    </row>
    <row r="7" customFormat="false" ht="15" hidden="false" customHeight="false" outlineLevel="0" collapsed="false">
      <c r="A7" s="5" t="s">
        <v>22</v>
      </c>
      <c r="B7" s="6" t="e">
        <f aca="false">covariance.s(Returns_Calculation!F:F,Returns_Calculation!B:B)*252</f>
        <v>#NAME?</v>
      </c>
      <c r="C7" s="6" t="e">
        <f aca="false">covariance.s(Returns_Calculation!F:F,Returns_Calculation!C:C)*252</f>
        <v>#NAME?</v>
      </c>
      <c r="D7" s="6" t="e">
        <f aca="false">covariance.s(Returns_Calculation!F:F,Returns_Calculation!D:D)*252</f>
        <v>#NAME?</v>
      </c>
      <c r="E7" s="6" t="e">
        <f aca="false">covariance.s(Returns_Calculation!F:F,Returns_Calculation!E:E)*252</f>
        <v>#NAME?</v>
      </c>
      <c r="F7" s="6" t="e">
        <f aca="false">covariance.s(Returns_Calculation!F:F,Returns_Calculation!F:F)*252</f>
        <v>#NAME?</v>
      </c>
    </row>
    <row r="10" customFormat="false" ht="17.35" hidden="false" customHeight="false" outlineLevel="0" collapsed="false">
      <c r="A10" s="7" t="s">
        <v>28</v>
      </c>
    </row>
    <row r="11" customFormat="false" ht="15" hidden="false" customHeight="false" outlineLevel="0" collapsed="false"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</row>
    <row r="12" customFormat="false" ht="15" hidden="false" customHeight="false" outlineLevel="0" collapsed="false">
      <c r="A12" s="5" t="s">
        <v>18</v>
      </c>
      <c r="B12" s="6" t="e">
        <f aca="false">CORREL(Returns_Calculation!B:B,Returns_Calculation!B:B)</f>
        <v>#DIV/0!</v>
      </c>
      <c r="C12" s="6" t="e">
        <f aca="false">CORREL(Returns_Calculation!B:B,Returns_Calculation!C:C)</f>
        <v>#DIV/0!</v>
      </c>
      <c r="D12" s="6" t="e">
        <f aca="false">CORREL(Returns_Calculation!B:B,Returns_Calculation!D:D)</f>
        <v>#DIV/0!</v>
      </c>
      <c r="E12" s="6" t="e">
        <f aca="false">CORREL(Returns_Calculation!B:B,Returns_Calculation!E:E)</f>
        <v>#DIV/0!</v>
      </c>
      <c r="F12" s="6" t="e">
        <f aca="false">CORREL(Returns_Calculation!B:B,Returns_Calculation!F:F)</f>
        <v>#DIV/0!</v>
      </c>
    </row>
    <row r="13" customFormat="false" ht="15" hidden="false" customHeight="false" outlineLevel="0" collapsed="false">
      <c r="A13" s="5" t="s">
        <v>19</v>
      </c>
      <c r="B13" s="6" t="e">
        <f aca="false">CORREL(Returns_Calculation!C:C,Returns_Calculation!B:B)</f>
        <v>#DIV/0!</v>
      </c>
      <c r="C13" s="6" t="e">
        <f aca="false">CORREL(Returns_Calculation!C:C,Returns_Calculation!C:C)</f>
        <v>#DIV/0!</v>
      </c>
      <c r="D13" s="6" t="e">
        <f aca="false">CORREL(Returns_Calculation!C:C,Returns_Calculation!D:D)</f>
        <v>#DIV/0!</v>
      </c>
      <c r="E13" s="6" t="e">
        <f aca="false">CORREL(Returns_Calculation!C:C,Returns_Calculation!E:E)</f>
        <v>#DIV/0!</v>
      </c>
      <c r="F13" s="6" t="e">
        <f aca="false">CORREL(Returns_Calculation!C:C,Returns_Calculation!F:F)</f>
        <v>#DIV/0!</v>
      </c>
    </row>
    <row r="14" customFormat="false" ht="15" hidden="false" customHeight="false" outlineLevel="0" collapsed="false">
      <c r="A14" s="5" t="s">
        <v>20</v>
      </c>
      <c r="B14" s="6" t="e">
        <f aca="false">CORREL(Returns_Calculation!D:D,Returns_Calculation!B:B)</f>
        <v>#DIV/0!</v>
      </c>
      <c r="C14" s="6" t="e">
        <f aca="false">CORREL(Returns_Calculation!D:D,Returns_Calculation!C:C)</f>
        <v>#DIV/0!</v>
      </c>
      <c r="D14" s="6" t="e">
        <f aca="false">CORREL(Returns_Calculation!D:D,Returns_Calculation!D:D)</f>
        <v>#DIV/0!</v>
      </c>
      <c r="E14" s="6" t="e">
        <f aca="false">CORREL(Returns_Calculation!D:D,Returns_Calculation!E:E)</f>
        <v>#DIV/0!</v>
      </c>
      <c r="F14" s="6" t="e">
        <f aca="false">CORREL(Returns_Calculation!D:D,Returns_Calculation!F:F)</f>
        <v>#DIV/0!</v>
      </c>
    </row>
    <row r="15" customFormat="false" ht="15" hidden="false" customHeight="false" outlineLevel="0" collapsed="false">
      <c r="A15" s="5" t="s">
        <v>21</v>
      </c>
      <c r="B15" s="6" t="e">
        <f aca="false">CORREL(Returns_Calculation!E:E,Returns_Calculation!B:B)</f>
        <v>#DIV/0!</v>
      </c>
      <c r="C15" s="6" t="e">
        <f aca="false">CORREL(Returns_Calculation!E:E,Returns_Calculation!C:C)</f>
        <v>#DIV/0!</v>
      </c>
      <c r="D15" s="6" t="e">
        <f aca="false">CORREL(Returns_Calculation!E:E,Returns_Calculation!D:D)</f>
        <v>#DIV/0!</v>
      </c>
      <c r="E15" s="6" t="e">
        <f aca="false">CORREL(Returns_Calculation!E:E,Returns_Calculation!E:E)</f>
        <v>#DIV/0!</v>
      </c>
      <c r="F15" s="6" t="e">
        <f aca="false">CORREL(Returns_Calculation!E:E,Returns_Calculation!F:F)</f>
        <v>#DIV/0!</v>
      </c>
    </row>
    <row r="16" customFormat="false" ht="15" hidden="false" customHeight="false" outlineLevel="0" collapsed="false">
      <c r="A16" s="5" t="s">
        <v>22</v>
      </c>
      <c r="B16" s="6" t="e">
        <f aca="false">CORREL(Returns_Calculation!F:F,Returns_Calculation!B:B)</f>
        <v>#DIV/0!</v>
      </c>
      <c r="C16" s="6" t="e">
        <f aca="false">CORREL(Returns_Calculation!F:F,Returns_Calculation!C:C)</f>
        <v>#DIV/0!</v>
      </c>
      <c r="D16" s="6" t="e">
        <f aca="false">CORREL(Returns_Calculation!F:F,Returns_Calculation!D:D)</f>
        <v>#DIV/0!</v>
      </c>
      <c r="E16" s="6" t="e">
        <f aca="false">CORREL(Returns_Calculation!F:F,Returns_Calculation!E:E)</f>
        <v>#DIV/0!</v>
      </c>
      <c r="F16" s="6" t="e">
        <f aca="false">CORREL(Returns_Calculation!F:F,Returns_Calculation!F:F)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7" t="s">
        <v>29</v>
      </c>
    </row>
    <row r="3" customFormat="false" ht="15" hidden="false" customHeight="false" outlineLevel="0" collapsed="false">
      <c r="A3" s="4" t="s">
        <v>30</v>
      </c>
    </row>
    <row r="4" customFormat="false" ht="15" hidden="false" customHeight="fals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31</v>
      </c>
    </row>
    <row r="5" customFormat="false" ht="15" hidden="false" customHeight="false" outlineLevel="0" collapsed="false">
      <c r="A5" s="0" t="s">
        <v>32</v>
      </c>
      <c r="B5" s="8" t="n">
        <v>0.2</v>
      </c>
      <c r="C5" s="8" t="n">
        <v>0.2</v>
      </c>
      <c r="D5" s="8" t="n">
        <v>0.2</v>
      </c>
      <c r="E5" s="8" t="n">
        <v>0.2</v>
      </c>
      <c r="F5" s="8" t="n">
        <v>0.2</v>
      </c>
      <c r="G5" s="6" t="n">
        <f aca="false">SUM(B5:F5)</f>
        <v>1</v>
      </c>
    </row>
    <row r="7" customFormat="false" ht="15" hidden="false" customHeight="false" outlineLevel="0" collapsed="false">
      <c r="A7" s="5" t="s">
        <v>33</v>
      </c>
      <c r="B7" s="6" t="n">
        <f aca="false">Returns_Calculation!B259</f>
        <v>-3.56872545519457</v>
      </c>
      <c r="C7" s="6" t="n">
        <f aca="false">Returns_Calculation!C259</f>
        <v>-3.56872545519457</v>
      </c>
      <c r="D7" s="6" t="n">
        <f aca="false">Returns_Calculation!D259</f>
        <v>-3.56872545519457</v>
      </c>
      <c r="E7" s="6" t="n">
        <f aca="false">Returns_Calculation!E259</f>
        <v>-3.56872545519457</v>
      </c>
      <c r="F7" s="6" t="n">
        <f aca="false">Returns_Calculation!F259</f>
        <v>-3.56872545519457</v>
      </c>
    </row>
    <row r="10" customFormat="false" ht="15" hidden="false" customHeight="false" outlineLevel="0" collapsed="false">
      <c r="A10" s="4" t="s">
        <v>34</v>
      </c>
    </row>
    <row r="11" customFormat="false" ht="15" hidden="false" customHeight="false" outlineLevel="0" collapsed="false">
      <c r="A11" s="0" t="s">
        <v>35</v>
      </c>
      <c r="B11" s="8" t="n">
        <v>0.08</v>
      </c>
    </row>
    <row r="12" customFormat="false" ht="15" hidden="false" customHeight="false" outlineLevel="0" collapsed="false">
      <c r="A12" s="0" t="s">
        <v>36</v>
      </c>
      <c r="B12" s="0" t="n">
        <f aca="false">SUMPRODUCT(B5:F5,B7:F7)</f>
        <v>-3.56872545519457</v>
      </c>
    </row>
    <row r="13" customFormat="false" ht="15" hidden="false" customHeight="false" outlineLevel="0" collapsed="false">
      <c r="A13" s="0" t="s">
        <v>37</v>
      </c>
      <c r="B13" s="0" t="e">
        <f aca="false">MMULT(MMULT(B5:F5,Covariance_Matrix!B3:F7),TRANSPOSE(B5:F5))</f>
        <v>#NAME?</v>
      </c>
    </row>
    <row r="14" customFormat="false" ht="15" hidden="false" customHeight="false" outlineLevel="0" collapsed="false">
      <c r="A14" s="0" t="s">
        <v>38</v>
      </c>
      <c r="B14" s="0" t="e">
        <f aca="false">SQRT(B13)</f>
        <v>#NAME?</v>
      </c>
    </row>
    <row r="17" customFormat="false" ht="15" hidden="false" customHeight="false" outlineLevel="0" collapsed="false">
      <c r="A17" s="9" t="s">
        <v>39</v>
      </c>
    </row>
    <row r="18" customFormat="false" ht="15" hidden="false" customHeight="false" outlineLevel="0" collapsed="false">
      <c r="A18" s="10" t="s">
        <v>40</v>
      </c>
    </row>
    <row r="19" customFormat="false" ht="15" hidden="false" customHeight="false" outlineLevel="0" collapsed="false">
      <c r="A19" s="10" t="s">
        <v>41</v>
      </c>
    </row>
    <row r="20" customFormat="false" ht="15" hidden="false" customHeight="false" outlineLevel="0" collapsed="false">
      <c r="A20" s="10" t="s">
        <v>42</v>
      </c>
    </row>
    <row r="21" customFormat="false" ht="15" hidden="false" customHeight="false" outlineLevel="0" collapsed="false">
      <c r="A21" s="10" t="s">
        <v>43</v>
      </c>
    </row>
    <row r="22" customFormat="false" ht="15" hidden="false" customHeight="false" outlineLevel="0" collapsed="false">
      <c r="A22" s="10" t="s">
        <v>44</v>
      </c>
    </row>
    <row r="23" customFormat="false" ht="15" hidden="false" customHeight="false" outlineLevel="0" collapsed="false">
      <c r="A23" s="10" t="s">
        <v>45</v>
      </c>
    </row>
    <row r="24" customFormat="false" ht="15" hidden="false" customHeight="false" outlineLevel="0" collapsed="false">
      <c r="A24" s="10" t="s">
        <v>46</v>
      </c>
    </row>
    <row r="25" customFormat="false" ht="15" hidden="false" customHeight="false" outlineLevel="0" collapsed="false">
      <c r="A25" s="10" t="s">
        <v>47</v>
      </c>
    </row>
    <row r="26" customFormat="false" ht="15" hidden="false" customHeight="false" outlineLevel="0" collapsed="false">
      <c r="A26" s="10" t="s">
        <v>48</v>
      </c>
    </row>
    <row r="27" customFormat="false" ht="15" hidden="false" customHeight="false" outlineLevel="0" collapsed="false">
      <c r="A27" s="10" t="s">
        <v>49</v>
      </c>
    </row>
    <row r="28" customFormat="false" ht="15" hidden="false" customHeight="false" outlineLevel="0" collapsed="false">
      <c r="A28" s="1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2026-05-06T23:03:32Z</dcterms:created>
  <dc:creator>openpyxl</dc:creator>
  <dc:description/>
  <dc:language>en-US</dc:language>
  <cp:lastModifiedBy/>
  <dcterms:modified xsi:type="dcterms:W3CDTF">2026-05-06T23:03:32Z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