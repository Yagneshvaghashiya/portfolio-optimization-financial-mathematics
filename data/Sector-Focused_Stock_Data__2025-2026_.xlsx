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befdf69ad7c04b55/London Met/Financial Mathematics/Coursework/"/>
    </mc:Choice>
  </mc:AlternateContent>
  <xr:revisionPtr revIDLastSave="1" documentId="11_A0A3EF5EE4012DDDA6E52138AD04E9524FC5C3F3" xr6:coauthVersionLast="47" xr6:coauthVersionMax="47" xr10:uidLastSave="{F96F834D-C212-4C3F-AB3A-779A068E88ED}"/>
  <bookViews>
    <workbookView xWindow="-108" yWindow="-108" windowWidth="23256" windowHeight="12456" firstSheet="6" activeTab="6" xr2:uid="{00000000-000D-0000-FFFF-FFFF00000000}"/>
  </bookViews>
  <sheets>
    <sheet name="NFLX" sheetId="1" r:id="rId1"/>
    <sheet name="V" sheetId="2" r:id="rId2"/>
    <sheet name="XOM" sheetId="3" r:id="rId3"/>
    <sheet name="PFE" sheetId="4" r:id="rId4"/>
    <sheet name="PG" sheetId="5" r:id="rId5"/>
    <sheet name="S&amp;P 500" sheetId="12" r:id="rId6"/>
    <sheet name="Prices" sheetId="6" r:id="rId7"/>
    <sheet name="Daily Returns" sheetId="7" r:id="rId8"/>
    <sheet name="Task (I) Result" sheetId="8" r:id="rId9"/>
    <sheet name="Task (II) Result" sheetId="9" r:id="rId10"/>
    <sheet name="Task (III) Result" sheetId="10" r:id="rId11"/>
    <sheet name="Task (IV) Result" sheetId="11" r:id="rId12"/>
  </sheets>
  <definedNames>
    <definedName name="solver_adj" localSheetId="9" hidden="1">'Task (II) Result'!$B$21:$F$21</definedName>
    <definedName name="solver_cvg" localSheetId="9" hidden="1">0.0001</definedName>
    <definedName name="solver_drv" localSheetId="9" hidden="1">1</definedName>
    <definedName name="solver_eng" localSheetId="7" hidden="1">1</definedName>
    <definedName name="solver_eng" localSheetId="9" hidden="1">1</definedName>
    <definedName name="solver_est" localSheetId="9" hidden="1">1</definedName>
    <definedName name="solver_itr" localSheetId="9" hidden="1">2147483647</definedName>
    <definedName name="solver_lhs1" localSheetId="9" hidden="1">'Task (II) Result'!$B$21:$F$21</definedName>
    <definedName name="solver_lhs2" localSheetId="9" hidden="1">'Task (II) Result'!$F$24</definedName>
    <definedName name="solver_lhs3" localSheetId="9" hidden="1">'Task (II) Result'!$G$21</definedName>
    <definedName name="solver_mip" localSheetId="9" hidden="1">2147483647</definedName>
    <definedName name="solver_mni" localSheetId="9" hidden="1">30</definedName>
    <definedName name="solver_mrt" localSheetId="9" hidden="1">0.075</definedName>
    <definedName name="solver_msl" localSheetId="9" hidden="1">2</definedName>
    <definedName name="solver_neg" localSheetId="7" hidden="1">1</definedName>
    <definedName name="solver_neg" localSheetId="9" hidden="1">1</definedName>
    <definedName name="solver_nod" localSheetId="9" hidden="1">2147483647</definedName>
    <definedName name="solver_num" localSheetId="7" hidden="1">0</definedName>
    <definedName name="solver_num" localSheetId="9" hidden="1">3</definedName>
    <definedName name="solver_nwt" localSheetId="9" hidden="1">1</definedName>
    <definedName name="solver_opt" localSheetId="7" hidden="1">'Daily Returns'!$B$1</definedName>
    <definedName name="solver_opt" localSheetId="9" hidden="1">'Task (II) Result'!$I$21</definedName>
    <definedName name="solver_pre" localSheetId="9" hidden="1">0.000001</definedName>
    <definedName name="solver_rbv" localSheetId="9" hidden="1">1</definedName>
    <definedName name="solver_rel1" localSheetId="9" hidden="1">3</definedName>
    <definedName name="solver_rel2" localSheetId="9" hidden="1">2</definedName>
    <definedName name="solver_rel3" localSheetId="9" hidden="1">2</definedName>
    <definedName name="solver_rhs1" localSheetId="9" hidden="1">0</definedName>
    <definedName name="solver_rhs2" localSheetId="9" hidden="1">'Task (II) Result'!$H$21</definedName>
    <definedName name="solver_rhs3" localSheetId="9" hidden="1">1</definedName>
    <definedName name="solver_rlx" localSheetId="9" hidden="1">2</definedName>
    <definedName name="solver_rsd" localSheetId="9" hidden="1">0</definedName>
    <definedName name="solver_scl" localSheetId="9" hidden="1">1</definedName>
    <definedName name="solver_sho" localSheetId="9" hidden="1">2</definedName>
    <definedName name="solver_ssz" localSheetId="9" hidden="1">100</definedName>
    <definedName name="solver_tim" localSheetId="9" hidden="1">2147483647</definedName>
    <definedName name="solver_tol" localSheetId="9" hidden="1">0.01</definedName>
    <definedName name="solver_typ" localSheetId="7" hidden="1">1</definedName>
    <definedName name="solver_typ" localSheetId="9" hidden="1">2</definedName>
    <definedName name="solver_val" localSheetId="7" hidden="1">0</definedName>
    <definedName name="solver_val" localSheetId="9" hidden="1">0</definedName>
    <definedName name="solver_ver" localSheetId="7" hidden="1">3</definedName>
    <definedName name="solver_ver" localSheetId="9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7" l="1"/>
  <c r="G7" i="7"/>
  <c r="G11" i="7"/>
  <c r="G15" i="7"/>
  <c r="G19" i="7"/>
  <c r="G23" i="7"/>
  <c r="G27" i="7"/>
  <c r="G31" i="7"/>
  <c r="G35" i="7"/>
  <c r="G39" i="7"/>
  <c r="G43" i="7"/>
  <c r="G51" i="7"/>
  <c r="G59" i="7"/>
  <c r="G67" i="7"/>
  <c r="G75" i="7"/>
  <c r="G83" i="7"/>
  <c r="G91" i="7"/>
  <c r="G99" i="7"/>
  <c r="G107" i="7"/>
  <c r="G115" i="7"/>
  <c r="G123" i="7"/>
  <c r="G131" i="7"/>
  <c r="G139" i="7"/>
  <c r="G147" i="7"/>
  <c r="G155" i="7"/>
  <c r="G163" i="7"/>
  <c r="G171" i="7"/>
  <c r="G179" i="7"/>
  <c r="G187" i="7"/>
  <c r="G195" i="7"/>
  <c r="G203" i="7"/>
  <c r="G211" i="7"/>
  <c r="G219" i="7"/>
  <c r="G227" i="7"/>
  <c r="G235" i="7"/>
  <c r="G243" i="7"/>
  <c r="G2" i="7"/>
  <c r="G3" i="6"/>
  <c r="G4" i="6"/>
  <c r="G4" i="7" s="1"/>
  <c r="G5" i="6"/>
  <c r="G5" i="7" s="1"/>
  <c r="G6" i="6"/>
  <c r="G6" i="7" s="1"/>
  <c r="G7" i="6"/>
  <c r="G8" i="6"/>
  <c r="G8" i="7" s="1"/>
  <c r="G9" i="6"/>
  <c r="G9" i="7" s="1"/>
  <c r="G10" i="6"/>
  <c r="G10" i="7" s="1"/>
  <c r="G11" i="6"/>
  <c r="G12" i="6"/>
  <c r="G12" i="7" s="1"/>
  <c r="G13" i="6"/>
  <c r="G13" i="7" s="1"/>
  <c r="G14" i="6"/>
  <c r="G14" i="7" s="1"/>
  <c r="G15" i="6"/>
  <c r="G16" i="6"/>
  <c r="G16" i="7" s="1"/>
  <c r="G17" i="6"/>
  <c r="G17" i="7" s="1"/>
  <c r="G18" i="6"/>
  <c r="G18" i="7" s="1"/>
  <c r="G19" i="6"/>
  <c r="G20" i="6"/>
  <c r="G20" i="7" s="1"/>
  <c r="G21" i="6"/>
  <c r="G21" i="7" s="1"/>
  <c r="G22" i="6"/>
  <c r="G22" i="7" s="1"/>
  <c r="G23" i="6"/>
  <c r="G24" i="6"/>
  <c r="G24" i="7" s="1"/>
  <c r="G25" i="6"/>
  <c r="G25" i="7" s="1"/>
  <c r="G26" i="6"/>
  <c r="G26" i="7" s="1"/>
  <c r="G27" i="6"/>
  <c r="G28" i="6"/>
  <c r="G28" i="7" s="1"/>
  <c r="G29" i="6"/>
  <c r="G29" i="7" s="1"/>
  <c r="G30" i="6"/>
  <c r="G30" i="7" s="1"/>
  <c r="G31" i="6"/>
  <c r="G32" i="6"/>
  <c r="G32" i="7" s="1"/>
  <c r="G33" i="6"/>
  <c r="G33" i="7" s="1"/>
  <c r="G34" i="6"/>
  <c r="G34" i="7" s="1"/>
  <c r="G35" i="6"/>
  <c r="G36" i="6"/>
  <c r="G36" i="7" s="1"/>
  <c r="G37" i="6"/>
  <c r="G37" i="7" s="1"/>
  <c r="G38" i="6"/>
  <c r="G38" i="7" s="1"/>
  <c r="G39" i="6"/>
  <c r="G40" i="6"/>
  <c r="G40" i="7" s="1"/>
  <c r="G41" i="6"/>
  <c r="G41" i="7" s="1"/>
  <c r="G42" i="6"/>
  <c r="G42" i="7" s="1"/>
  <c r="G43" i="6"/>
  <c r="G44" i="6"/>
  <c r="G44" i="7" s="1"/>
  <c r="G45" i="6"/>
  <c r="G45" i="7" s="1"/>
  <c r="G46" i="6"/>
  <c r="G46" i="7" s="1"/>
  <c r="G47" i="6"/>
  <c r="G48" i="6"/>
  <c r="G47" i="7" s="1"/>
  <c r="G49" i="6"/>
  <c r="G49" i="7" s="1"/>
  <c r="G50" i="6"/>
  <c r="G50" i="7" s="1"/>
  <c r="G51" i="6"/>
  <c r="G52" i="6"/>
  <c r="G52" i="7" s="1"/>
  <c r="G53" i="6"/>
  <c r="G53" i="7" s="1"/>
  <c r="G54" i="6"/>
  <c r="G54" i="7" s="1"/>
  <c r="G55" i="6"/>
  <c r="G56" i="6"/>
  <c r="G55" i="7" s="1"/>
  <c r="G57" i="6"/>
  <c r="G57" i="7" s="1"/>
  <c r="G58" i="6"/>
  <c r="G58" i="7" s="1"/>
  <c r="G59" i="6"/>
  <c r="G60" i="6"/>
  <c r="G60" i="7" s="1"/>
  <c r="G61" i="6"/>
  <c r="G61" i="7" s="1"/>
  <c r="G62" i="6"/>
  <c r="G62" i="7" s="1"/>
  <c r="G63" i="6"/>
  <c r="G64" i="6"/>
  <c r="G63" i="7" s="1"/>
  <c r="G65" i="6"/>
  <c r="G65" i="7" s="1"/>
  <c r="G66" i="6"/>
  <c r="G66" i="7" s="1"/>
  <c r="G67" i="6"/>
  <c r="G68" i="6"/>
  <c r="G68" i="7" s="1"/>
  <c r="G69" i="6"/>
  <c r="G69" i="7" s="1"/>
  <c r="G70" i="6"/>
  <c r="G70" i="7" s="1"/>
  <c r="G71" i="6"/>
  <c r="G71" i="7" s="1"/>
  <c r="G72" i="6"/>
  <c r="G72" i="7" s="1"/>
  <c r="G73" i="6"/>
  <c r="G73" i="7" s="1"/>
  <c r="G74" i="6"/>
  <c r="G74" i="7" s="1"/>
  <c r="G75" i="6"/>
  <c r="G76" i="6"/>
  <c r="G76" i="7" s="1"/>
  <c r="G77" i="6"/>
  <c r="G77" i="7" s="1"/>
  <c r="G78" i="6"/>
  <c r="G78" i="7" s="1"/>
  <c r="G79" i="6"/>
  <c r="G79" i="7" s="1"/>
  <c r="G80" i="6"/>
  <c r="G80" i="7" s="1"/>
  <c r="G81" i="6"/>
  <c r="G81" i="7" s="1"/>
  <c r="G82" i="6"/>
  <c r="G82" i="7" s="1"/>
  <c r="G83" i="6"/>
  <c r="G84" i="6"/>
  <c r="G84" i="7" s="1"/>
  <c r="G85" i="6"/>
  <c r="G85" i="7" s="1"/>
  <c r="G86" i="6"/>
  <c r="G86" i="7" s="1"/>
  <c r="G87" i="6"/>
  <c r="G87" i="7" s="1"/>
  <c r="G88" i="6"/>
  <c r="G88" i="7" s="1"/>
  <c r="G89" i="6"/>
  <c r="G89" i="7" s="1"/>
  <c r="G90" i="6"/>
  <c r="G90" i="7" s="1"/>
  <c r="G91" i="6"/>
  <c r="G92" i="6"/>
  <c r="G92" i="7" s="1"/>
  <c r="G93" i="6"/>
  <c r="G93" i="7" s="1"/>
  <c r="G94" i="6"/>
  <c r="G94" i="7" s="1"/>
  <c r="G95" i="6"/>
  <c r="G95" i="7" s="1"/>
  <c r="G96" i="6"/>
  <c r="G96" i="7" s="1"/>
  <c r="G97" i="6"/>
  <c r="G97" i="7" s="1"/>
  <c r="G98" i="6"/>
  <c r="G98" i="7" s="1"/>
  <c r="G99" i="6"/>
  <c r="G100" i="6"/>
  <c r="G100" i="7" s="1"/>
  <c r="G101" i="6"/>
  <c r="G101" i="7" s="1"/>
  <c r="G102" i="6"/>
  <c r="G102" i="7" s="1"/>
  <c r="G103" i="6"/>
  <c r="G103" i="7" s="1"/>
  <c r="G104" i="6"/>
  <c r="G104" i="7" s="1"/>
  <c r="G105" i="6"/>
  <c r="G105" i="7" s="1"/>
  <c r="G106" i="6"/>
  <c r="G106" i="7" s="1"/>
  <c r="G107" i="6"/>
  <c r="G108" i="6"/>
  <c r="G108" i="7" s="1"/>
  <c r="G109" i="6"/>
  <c r="G109" i="7" s="1"/>
  <c r="G110" i="6"/>
  <c r="G110" i="7" s="1"/>
  <c r="G111" i="6"/>
  <c r="G111" i="7" s="1"/>
  <c r="G112" i="6"/>
  <c r="G112" i="7" s="1"/>
  <c r="G113" i="6"/>
  <c r="G113" i="7" s="1"/>
  <c r="G114" i="6"/>
  <c r="G114" i="7" s="1"/>
  <c r="G115" i="6"/>
  <c r="G116" i="6"/>
  <c r="G116" i="7" s="1"/>
  <c r="G117" i="6"/>
  <c r="G117" i="7" s="1"/>
  <c r="G118" i="6"/>
  <c r="G118" i="7" s="1"/>
  <c r="G119" i="6"/>
  <c r="G119" i="7" s="1"/>
  <c r="G120" i="6"/>
  <c r="G120" i="7" s="1"/>
  <c r="G121" i="6"/>
  <c r="G121" i="7" s="1"/>
  <c r="G122" i="6"/>
  <c r="G122" i="7" s="1"/>
  <c r="G123" i="6"/>
  <c r="G124" i="6"/>
  <c r="G124" i="7" s="1"/>
  <c r="G125" i="6"/>
  <c r="G125" i="7" s="1"/>
  <c r="G126" i="6"/>
  <c r="G126" i="7" s="1"/>
  <c r="G127" i="6"/>
  <c r="G127" i="7" s="1"/>
  <c r="G128" i="6"/>
  <c r="G128" i="7" s="1"/>
  <c r="G129" i="6"/>
  <c r="G129" i="7" s="1"/>
  <c r="G130" i="6"/>
  <c r="G130" i="7" s="1"/>
  <c r="G131" i="6"/>
  <c r="G132" i="6"/>
  <c r="G132" i="7" s="1"/>
  <c r="G133" i="6"/>
  <c r="G133" i="7" s="1"/>
  <c r="G134" i="6"/>
  <c r="G134" i="7" s="1"/>
  <c r="G135" i="6"/>
  <c r="G135" i="7" s="1"/>
  <c r="G136" i="6"/>
  <c r="G136" i="7" s="1"/>
  <c r="G137" i="6"/>
  <c r="G137" i="7" s="1"/>
  <c r="G138" i="6"/>
  <c r="G138" i="7" s="1"/>
  <c r="G139" i="6"/>
  <c r="G140" i="6"/>
  <c r="G140" i="7" s="1"/>
  <c r="G141" i="6"/>
  <c r="G141" i="7" s="1"/>
  <c r="G142" i="6"/>
  <c r="G142" i="7" s="1"/>
  <c r="G143" i="6"/>
  <c r="G143" i="7" s="1"/>
  <c r="G144" i="6"/>
  <c r="G144" i="7" s="1"/>
  <c r="G145" i="6"/>
  <c r="G145" i="7" s="1"/>
  <c r="G146" i="6"/>
  <c r="G146" i="7" s="1"/>
  <c r="G147" i="6"/>
  <c r="G148" i="6"/>
  <c r="G148" i="7" s="1"/>
  <c r="G149" i="6"/>
  <c r="G149" i="7" s="1"/>
  <c r="G150" i="6"/>
  <c r="G150" i="7" s="1"/>
  <c r="G151" i="6"/>
  <c r="G151" i="7" s="1"/>
  <c r="G152" i="6"/>
  <c r="G152" i="7" s="1"/>
  <c r="G153" i="6"/>
  <c r="G153" i="7" s="1"/>
  <c r="G154" i="6"/>
  <c r="G154" i="7" s="1"/>
  <c r="G155" i="6"/>
  <c r="G156" i="6"/>
  <c r="G156" i="7" s="1"/>
  <c r="G157" i="6"/>
  <c r="G157" i="7" s="1"/>
  <c r="G158" i="6"/>
  <c r="G158" i="7" s="1"/>
  <c r="G159" i="6"/>
  <c r="G159" i="7" s="1"/>
  <c r="G160" i="6"/>
  <c r="G160" i="7" s="1"/>
  <c r="G161" i="6"/>
  <c r="G161" i="7" s="1"/>
  <c r="G162" i="6"/>
  <c r="G162" i="7" s="1"/>
  <c r="G163" i="6"/>
  <c r="G164" i="6"/>
  <c r="G164" i="7" s="1"/>
  <c r="G165" i="6"/>
  <c r="G165" i="7" s="1"/>
  <c r="G166" i="6"/>
  <c r="G166" i="7" s="1"/>
  <c r="G167" i="6"/>
  <c r="G167" i="7" s="1"/>
  <c r="G168" i="6"/>
  <c r="G168" i="7" s="1"/>
  <c r="G169" i="6"/>
  <c r="G169" i="7" s="1"/>
  <c r="G170" i="6"/>
  <c r="G170" i="7" s="1"/>
  <c r="G171" i="6"/>
  <c r="G172" i="6"/>
  <c r="G172" i="7" s="1"/>
  <c r="G173" i="6"/>
  <c r="G173" i="7" s="1"/>
  <c r="G174" i="6"/>
  <c r="G174" i="7" s="1"/>
  <c r="G175" i="6"/>
  <c r="G175" i="7" s="1"/>
  <c r="G176" i="6"/>
  <c r="G176" i="7" s="1"/>
  <c r="G177" i="6"/>
  <c r="G177" i="7" s="1"/>
  <c r="G178" i="6"/>
  <c r="G178" i="7" s="1"/>
  <c r="G179" i="6"/>
  <c r="G180" i="6"/>
  <c r="G180" i="7" s="1"/>
  <c r="G181" i="6"/>
  <c r="G181" i="7" s="1"/>
  <c r="G182" i="6"/>
  <c r="G182" i="7" s="1"/>
  <c r="G183" i="6"/>
  <c r="G183" i="7" s="1"/>
  <c r="G184" i="6"/>
  <c r="G184" i="7" s="1"/>
  <c r="G185" i="6"/>
  <c r="G185" i="7" s="1"/>
  <c r="G186" i="6"/>
  <c r="G186" i="7" s="1"/>
  <c r="G187" i="6"/>
  <c r="G188" i="6"/>
  <c r="G188" i="7" s="1"/>
  <c r="G189" i="6"/>
  <c r="G189" i="7" s="1"/>
  <c r="G190" i="6"/>
  <c r="G190" i="7" s="1"/>
  <c r="G191" i="6"/>
  <c r="G191" i="7" s="1"/>
  <c r="G192" i="6"/>
  <c r="G192" i="7" s="1"/>
  <c r="G193" i="6"/>
  <c r="G193" i="7" s="1"/>
  <c r="G194" i="6"/>
  <c r="G194" i="7" s="1"/>
  <c r="G195" i="6"/>
  <c r="G196" i="6"/>
  <c r="G196" i="7" s="1"/>
  <c r="G197" i="6"/>
  <c r="G197" i="7" s="1"/>
  <c r="G198" i="6"/>
  <c r="G198" i="7" s="1"/>
  <c r="G199" i="6"/>
  <c r="G199" i="7" s="1"/>
  <c r="G200" i="6"/>
  <c r="G200" i="7" s="1"/>
  <c r="G201" i="6"/>
  <c r="G201" i="7" s="1"/>
  <c r="G202" i="6"/>
  <c r="G202" i="7" s="1"/>
  <c r="G203" i="6"/>
  <c r="G204" i="6"/>
  <c r="G204" i="7" s="1"/>
  <c r="G205" i="6"/>
  <c r="G205" i="7" s="1"/>
  <c r="G206" i="6"/>
  <c r="G206" i="7" s="1"/>
  <c r="G207" i="6"/>
  <c r="G207" i="7" s="1"/>
  <c r="G208" i="6"/>
  <c r="G208" i="7" s="1"/>
  <c r="G209" i="6"/>
  <c r="G209" i="7" s="1"/>
  <c r="G210" i="6"/>
  <c r="G210" i="7" s="1"/>
  <c r="G211" i="6"/>
  <c r="G212" i="6"/>
  <c r="G212" i="7" s="1"/>
  <c r="G213" i="6"/>
  <c r="G213" i="7" s="1"/>
  <c r="G214" i="6"/>
  <c r="G214" i="7" s="1"/>
  <c r="G215" i="6"/>
  <c r="G215" i="7" s="1"/>
  <c r="G216" i="6"/>
  <c r="G216" i="7" s="1"/>
  <c r="G217" i="6"/>
  <c r="G217" i="7" s="1"/>
  <c r="G218" i="6"/>
  <c r="G218" i="7" s="1"/>
  <c r="G219" i="6"/>
  <c r="G220" i="6"/>
  <c r="G220" i="7" s="1"/>
  <c r="G221" i="6"/>
  <c r="G221" i="7" s="1"/>
  <c r="G222" i="6"/>
  <c r="G222" i="7" s="1"/>
  <c r="G223" i="6"/>
  <c r="G223" i="7" s="1"/>
  <c r="G224" i="6"/>
  <c r="G224" i="7" s="1"/>
  <c r="G225" i="6"/>
  <c r="G225" i="7" s="1"/>
  <c r="G226" i="6"/>
  <c r="G226" i="7" s="1"/>
  <c r="G227" i="6"/>
  <c r="G228" i="6"/>
  <c r="G228" i="7" s="1"/>
  <c r="G229" i="6"/>
  <c r="G229" i="7" s="1"/>
  <c r="G230" i="6"/>
  <c r="G230" i="7" s="1"/>
  <c r="G231" i="6"/>
  <c r="G231" i="7" s="1"/>
  <c r="G232" i="6"/>
  <c r="G232" i="7" s="1"/>
  <c r="G233" i="6"/>
  <c r="G233" i="7" s="1"/>
  <c r="G234" i="6"/>
  <c r="G234" i="7" s="1"/>
  <c r="G235" i="6"/>
  <c r="G236" i="6"/>
  <c r="G236" i="7" s="1"/>
  <c r="G237" i="6"/>
  <c r="G237" i="7" s="1"/>
  <c r="G238" i="6"/>
  <c r="G238" i="7" s="1"/>
  <c r="G239" i="6"/>
  <c r="G239" i="7" s="1"/>
  <c r="G240" i="6"/>
  <c r="G240" i="7" s="1"/>
  <c r="G241" i="6"/>
  <c r="G241" i="7" s="1"/>
  <c r="G242" i="6"/>
  <c r="G242" i="7" s="1"/>
  <c r="G243" i="6"/>
  <c r="G244" i="6"/>
  <c r="G244" i="7" s="1"/>
  <c r="G245" i="6"/>
  <c r="G245" i="7" s="1"/>
  <c r="G246" i="6"/>
  <c r="G246" i="7" s="1"/>
  <c r="G247" i="6"/>
  <c r="G247" i="7" s="1"/>
  <c r="G248" i="6"/>
  <c r="G248" i="7" s="1"/>
  <c r="G249" i="6"/>
  <c r="G249" i="7" s="1"/>
  <c r="G250" i="6"/>
  <c r="G250" i="7" s="1"/>
  <c r="G251" i="6"/>
  <c r="G251" i="7" s="1"/>
  <c r="G2" i="6"/>
  <c r="G64" i="7" l="1"/>
  <c r="G56" i="7"/>
  <c r="G48" i="7"/>
  <c r="D3" i="10"/>
  <c r="D4" i="10"/>
  <c r="D5" i="10"/>
  <c r="D6" i="10"/>
  <c r="B9" i="10" s="1"/>
  <c r="E5" i="10" s="1"/>
  <c r="D2" i="10"/>
  <c r="E4" i="10" l="1"/>
  <c r="E2" i="10"/>
  <c r="E3" i="10"/>
  <c r="E6" i="10"/>
  <c r="G18" i="9"/>
  <c r="G19" i="9"/>
  <c r="G20" i="9"/>
  <c r="G21" i="9"/>
  <c r="G17" i="9"/>
  <c r="B2" i="7"/>
  <c r="B3" i="7"/>
  <c r="B4" i="7"/>
  <c r="B5" i="7"/>
  <c r="B6" i="7"/>
  <c r="B7" i="7"/>
  <c r="B8" i="7"/>
  <c r="B9" i="7"/>
  <c r="B10" i="7"/>
  <c r="B11" i="7"/>
  <c r="B12" i="7"/>
  <c r="B13" i="7"/>
  <c r="B14" i="7"/>
  <c r="B15" i="7"/>
  <c r="B16" i="7"/>
  <c r="B17" i="7"/>
  <c r="B18" i="7"/>
  <c r="B19" i="7"/>
  <c r="B20" i="7"/>
  <c r="B21" i="7"/>
  <c r="B22" i="7"/>
  <c r="B23" i="7"/>
  <c r="B24" i="7"/>
  <c r="B25" i="7"/>
  <c r="B26" i="7"/>
  <c r="B27" i="7"/>
  <c r="B28" i="7"/>
  <c r="B29" i="7"/>
  <c r="B30" i="7"/>
  <c r="B31" i="7"/>
  <c r="B32" i="7"/>
  <c r="B33" i="7"/>
  <c r="B34" i="7"/>
  <c r="B35" i="7"/>
  <c r="B36" i="7"/>
  <c r="B37" i="7"/>
  <c r="B38" i="7"/>
  <c r="B39" i="7"/>
  <c r="B40" i="7"/>
  <c r="B41" i="7"/>
  <c r="B42" i="7"/>
  <c r="B43" i="7"/>
  <c r="B44" i="7"/>
  <c r="B45" i="7"/>
  <c r="B46" i="7"/>
  <c r="B47" i="7"/>
  <c r="B48" i="7"/>
  <c r="B49" i="7"/>
  <c r="B50" i="7"/>
  <c r="B51" i="7"/>
  <c r="B52" i="7"/>
  <c r="B53" i="7"/>
  <c r="B54" i="7"/>
  <c r="B55" i="7"/>
  <c r="B56" i="7"/>
  <c r="B57" i="7"/>
  <c r="B58" i="7"/>
  <c r="B59" i="7"/>
  <c r="B60" i="7"/>
  <c r="B61" i="7"/>
  <c r="B62" i="7"/>
  <c r="B63" i="7"/>
  <c r="B64" i="7"/>
  <c r="B65" i="7"/>
  <c r="B66" i="7"/>
  <c r="B67" i="7"/>
  <c r="B68" i="7"/>
  <c r="B69" i="7"/>
  <c r="B70" i="7"/>
  <c r="B71" i="7"/>
  <c r="B72" i="7"/>
  <c r="B73" i="7"/>
  <c r="B74" i="7"/>
  <c r="B75" i="7"/>
  <c r="B76" i="7"/>
  <c r="B77" i="7"/>
  <c r="B78" i="7"/>
  <c r="B79" i="7"/>
  <c r="B80" i="7"/>
  <c r="B81" i="7"/>
  <c r="B82" i="7"/>
  <c r="B83" i="7"/>
  <c r="B84" i="7"/>
  <c r="B85" i="7"/>
  <c r="B86" i="7"/>
  <c r="B87" i="7"/>
  <c r="B88" i="7"/>
  <c r="B89" i="7"/>
  <c r="B90" i="7"/>
  <c r="B91" i="7"/>
  <c r="B92" i="7"/>
  <c r="B93" i="7"/>
  <c r="B94" i="7"/>
  <c r="B95" i="7"/>
  <c r="B96" i="7"/>
  <c r="B97" i="7"/>
  <c r="B98" i="7"/>
  <c r="B99" i="7"/>
  <c r="B100" i="7"/>
  <c r="B101" i="7"/>
  <c r="B102" i="7"/>
  <c r="B103" i="7"/>
  <c r="B104" i="7"/>
  <c r="B105" i="7"/>
  <c r="B106" i="7"/>
  <c r="B107" i="7"/>
  <c r="B108" i="7"/>
  <c r="B109" i="7"/>
  <c r="B110" i="7"/>
  <c r="B111" i="7"/>
  <c r="B112" i="7"/>
  <c r="B113" i="7"/>
  <c r="B114" i="7"/>
  <c r="B115" i="7"/>
  <c r="B116" i="7"/>
  <c r="B117" i="7"/>
  <c r="B118" i="7"/>
  <c r="B119" i="7"/>
  <c r="B120" i="7"/>
  <c r="B121" i="7"/>
  <c r="B122" i="7"/>
  <c r="B123" i="7"/>
  <c r="B124" i="7"/>
  <c r="B125" i="7"/>
  <c r="B126" i="7"/>
  <c r="B127" i="7"/>
  <c r="B128" i="7"/>
  <c r="B129" i="7"/>
  <c r="B130" i="7"/>
  <c r="B131" i="7"/>
  <c r="B132" i="7"/>
  <c r="B133" i="7"/>
  <c r="B134" i="7"/>
  <c r="B135" i="7"/>
  <c r="B136" i="7"/>
  <c r="B137" i="7"/>
  <c r="B138" i="7"/>
  <c r="B139" i="7"/>
  <c r="B140" i="7"/>
  <c r="B141" i="7"/>
  <c r="B142" i="7"/>
  <c r="B143" i="7"/>
  <c r="B144" i="7"/>
  <c r="B145" i="7"/>
  <c r="B146" i="7"/>
  <c r="B147" i="7"/>
  <c r="B148" i="7"/>
  <c r="B149" i="7"/>
  <c r="B150" i="7"/>
  <c r="B151" i="7"/>
  <c r="B152" i="7"/>
  <c r="B153" i="7"/>
  <c r="B154" i="7"/>
  <c r="B155" i="7"/>
  <c r="B156" i="7"/>
  <c r="B157" i="7"/>
  <c r="B158" i="7"/>
  <c r="B159" i="7"/>
  <c r="B160" i="7"/>
  <c r="B161" i="7"/>
  <c r="B162" i="7"/>
  <c r="B163" i="7"/>
  <c r="B164" i="7"/>
  <c r="B165" i="7"/>
  <c r="B166" i="7"/>
  <c r="B167" i="7"/>
  <c r="B168" i="7"/>
  <c r="B169" i="7"/>
  <c r="B170" i="7"/>
  <c r="B171" i="7"/>
  <c r="B172" i="7"/>
  <c r="B173" i="7"/>
  <c r="B174" i="7"/>
  <c r="B175" i="7"/>
  <c r="B176" i="7"/>
  <c r="B177" i="7"/>
  <c r="B178" i="7"/>
  <c r="B179" i="7"/>
  <c r="B180" i="7"/>
  <c r="B181" i="7"/>
  <c r="B182" i="7"/>
  <c r="B183" i="7"/>
  <c r="B184" i="7"/>
  <c r="B185" i="7"/>
  <c r="B186" i="7"/>
  <c r="B187" i="7"/>
  <c r="B188" i="7"/>
  <c r="B189" i="7"/>
  <c r="B190" i="7"/>
  <c r="B191" i="7"/>
  <c r="B192" i="7"/>
  <c r="B193" i="7"/>
  <c r="B194" i="7"/>
  <c r="B195" i="7"/>
  <c r="B196" i="7"/>
  <c r="B197" i="7"/>
  <c r="B198" i="7"/>
  <c r="B199" i="7"/>
  <c r="B200" i="7"/>
  <c r="B201" i="7"/>
  <c r="B202" i="7"/>
  <c r="B203" i="7"/>
  <c r="B204" i="7"/>
  <c r="B205" i="7"/>
  <c r="B206" i="7"/>
  <c r="B207" i="7"/>
  <c r="B208" i="7"/>
  <c r="B209" i="7"/>
  <c r="B210" i="7"/>
  <c r="B211" i="7"/>
  <c r="B212" i="7"/>
  <c r="B213" i="7"/>
  <c r="B214" i="7"/>
  <c r="B215" i="7"/>
  <c r="B216" i="7"/>
  <c r="B217" i="7"/>
  <c r="B218" i="7"/>
  <c r="B219" i="7"/>
  <c r="B220" i="7"/>
  <c r="B221" i="7"/>
  <c r="B222" i="7"/>
  <c r="B223" i="7"/>
  <c r="B224" i="7"/>
  <c r="B225" i="7"/>
  <c r="B226" i="7"/>
  <c r="B227" i="7"/>
  <c r="B228" i="7"/>
  <c r="B229" i="7"/>
  <c r="B230" i="7"/>
  <c r="B231" i="7"/>
  <c r="B232" i="7"/>
  <c r="B233" i="7"/>
  <c r="B234" i="7"/>
  <c r="B235" i="7"/>
  <c r="B236" i="7"/>
  <c r="B237" i="7"/>
  <c r="B238" i="7"/>
  <c r="B239" i="7"/>
  <c r="B240" i="7"/>
  <c r="B241" i="7"/>
  <c r="B242" i="7"/>
  <c r="B243" i="7"/>
  <c r="B244" i="7"/>
  <c r="B245" i="7"/>
  <c r="B246" i="7"/>
  <c r="B247" i="7"/>
  <c r="B248" i="7"/>
  <c r="B249" i="7"/>
  <c r="B250" i="7"/>
  <c r="E113" i="11" l="1"/>
  <c r="I8" i="9"/>
  <c r="B8" i="9" s="1"/>
  <c r="B251" i="7" l="1"/>
  <c r="D3" i="6"/>
  <c r="E3" i="6"/>
  <c r="E3" i="7" s="1"/>
  <c r="F3" i="6"/>
  <c r="F3" i="7" s="1"/>
  <c r="D4" i="6"/>
  <c r="D4" i="7" s="1"/>
  <c r="E4" i="6"/>
  <c r="E4" i="7" s="1"/>
  <c r="F4" i="6"/>
  <c r="D5" i="6"/>
  <c r="E5" i="6"/>
  <c r="F5" i="6"/>
  <c r="D6" i="6"/>
  <c r="D6" i="7" s="1"/>
  <c r="E6" i="6"/>
  <c r="F6" i="6"/>
  <c r="F6" i="7" s="1"/>
  <c r="D7" i="6"/>
  <c r="D7" i="7" s="1"/>
  <c r="E7" i="6"/>
  <c r="E7" i="7" s="1"/>
  <c r="F7" i="6"/>
  <c r="D8" i="6"/>
  <c r="E8" i="6"/>
  <c r="F8" i="6"/>
  <c r="F8" i="7" s="1"/>
  <c r="D9" i="6"/>
  <c r="E9" i="6"/>
  <c r="E9" i="7" s="1"/>
  <c r="F9" i="6"/>
  <c r="F9" i="7" s="1"/>
  <c r="D10" i="6"/>
  <c r="D10" i="7" s="1"/>
  <c r="E10" i="6"/>
  <c r="F10" i="6"/>
  <c r="D11" i="6"/>
  <c r="E11" i="6"/>
  <c r="E11" i="7" s="1"/>
  <c r="F11" i="6"/>
  <c r="D12" i="6"/>
  <c r="D12" i="7" s="1"/>
  <c r="E12" i="6"/>
  <c r="E12" i="7" s="1"/>
  <c r="F12" i="6"/>
  <c r="D13" i="6"/>
  <c r="E13" i="6"/>
  <c r="F13" i="6"/>
  <c r="D14" i="6"/>
  <c r="D14" i="7" s="1"/>
  <c r="E14" i="6"/>
  <c r="E14" i="7" s="1"/>
  <c r="F14" i="6"/>
  <c r="F14" i="7" s="1"/>
  <c r="D15" i="6"/>
  <c r="D15" i="7" s="1"/>
  <c r="E15" i="6"/>
  <c r="F15" i="6"/>
  <c r="D16" i="6"/>
  <c r="E16" i="6"/>
  <c r="F16" i="6"/>
  <c r="F16" i="7" s="1"/>
  <c r="D17" i="6"/>
  <c r="D17" i="7" s="1"/>
  <c r="E17" i="6"/>
  <c r="E17" i="7" s="1"/>
  <c r="F17" i="6"/>
  <c r="F17" i="7" s="1"/>
  <c r="D18" i="6"/>
  <c r="E18" i="6"/>
  <c r="F18" i="6"/>
  <c r="D19" i="6"/>
  <c r="E19" i="6"/>
  <c r="E19" i="7" s="1"/>
  <c r="F19" i="6"/>
  <c r="F19" i="7" s="1"/>
  <c r="D20" i="6"/>
  <c r="D20" i="7" s="1"/>
  <c r="E20" i="6"/>
  <c r="E20" i="7" s="1"/>
  <c r="F20" i="6"/>
  <c r="D21" i="6"/>
  <c r="E21" i="6"/>
  <c r="F21" i="6"/>
  <c r="D22" i="6"/>
  <c r="D22" i="7" s="1"/>
  <c r="E22" i="6"/>
  <c r="E22" i="7" s="1"/>
  <c r="F22" i="6"/>
  <c r="F22" i="7" s="1"/>
  <c r="D23" i="6"/>
  <c r="D23" i="7" s="1"/>
  <c r="E23" i="6"/>
  <c r="F23" i="6"/>
  <c r="D24" i="6"/>
  <c r="E24" i="6"/>
  <c r="F24" i="6"/>
  <c r="F24" i="7" s="1"/>
  <c r="D25" i="6"/>
  <c r="D25" i="7" s="1"/>
  <c r="E25" i="6"/>
  <c r="E25" i="7" s="1"/>
  <c r="F25" i="6"/>
  <c r="F25" i="7" s="1"/>
  <c r="D26" i="6"/>
  <c r="E26" i="6"/>
  <c r="F26" i="6"/>
  <c r="D27" i="6"/>
  <c r="E27" i="6"/>
  <c r="E27" i="7" s="1"/>
  <c r="F27" i="6"/>
  <c r="F27" i="7" s="1"/>
  <c r="D28" i="6"/>
  <c r="D28" i="7" s="1"/>
  <c r="E28" i="6"/>
  <c r="E28" i="7" s="1"/>
  <c r="F28" i="6"/>
  <c r="F28" i="7" s="1"/>
  <c r="D29" i="6"/>
  <c r="E29" i="6"/>
  <c r="F29" i="6"/>
  <c r="D30" i="6"/>
  <c r="D30" i="7" s="1"/>
  <c r="E30" i="6"/>
  <c r="E30" i="7" s="1"/>
  <c r="F30" i="6"/>
  <c r="F30" i="7" s="1"/>
  <c r="D31" i="6"/>
  <c r="D31" i="7" s="1"/>
  <c r="E31" i="6"/>
  <c r="E31" i="7" s="1"/>
  <c r="F31" i="6"/>
  <c r="D32" i="6"/>
  <c r="E32" i="6"/>
  <c r="F32" i="6"/>
  <c r="F32" i="7" s="1"/>
  <c r="D33" i="6"/>
  <c r="D33" i="7" s="1"/>
  <c r="E33" i="6"/>
  <c r="E33" i="7" s="1"/>
  <c r="F33" i="6"/>
  <c r="F33" i="7" s="1"/>
  <c r="D34" i="6"/>
  <c r="D34" i="7" s="1"/>
  <c r="E34" i="6"/>
  <c r="F34" i="6"/>
  <c r="D35" i="6"/>
  <c r="E35" i="6"/>
  <c r="E35" i="7" s="1"/>
  <c r="F35" i="6"/>
  <c r="F35" i="7" s="1"/>
  <c r="D36" i="6"/>
  <c r="D36" i="7" s="1"/>
  <c r="E36" i="6"/>
  <c r="E36" i="7" s="1"/>
  <c r="F36" i="6"/>
  <c r="F36" i="7" s="1"/>
  <c r="D37" i="6"/>
  <c r="E37" i="6"/>
  <c r="F37" i="6"/>
  <c r="D38" i="6"/>
  <c r="D38" i="7" s="1"/>
  <c r="E38" i="6"/>
  <c r="F38" i="6"/>
  <c r="F38" i="7" s="1"/>
  <c r="D39" i="6"/>
  <c r="D39" i="7" s="1"/>
  <c r="E39" i="6"/>
  <c r="E39" i="7" s="1"/>
  <c r="F39" i="6"/>
  <c r="D40" i="6"/>
  <c r="E40" i="6"/>
  <c r="F40" i="6"/>
  <c r="F40" i="7" s="1"/>
  <c r="D41" i="6"/>
  <c r="E41" i="6"/>
  <c r="E41" i="7" s="1"/>
  <c r="F41" i="6"/>
  <c r="F41" i="7" s="1"/>
  <c r="D42" i="6"/>
  <c r="D42" i="7" s="1"/>
  <c r="E42" i="6"/>
  <c r="F42" i="6"/>
  <c r="D43" i="6"/>
  <c r="E43" i="6"/>
  <c r="E43" i="7" s="1"/>
  <c r="F43" i="6"/>
  <c r="D44" i="6"/>
  <c r="D44" i="7" s="1"/>
  <c r="E44" i="6"/>
  <c r="E44" i="7" s="1"/>
  <c r="F44" i="6"/>
  <c r="F44" i="7" s="1"/>
  <c r="D45" i="6"/>
  <c r="E45" i="6"/>
  <c r="F45" i="6"/>
  <c r="D46" i="6"/>
  <c r="D46" i="7" s="1"/>
  <c r="E46" i="6"/>
  <c r="F46" i="6"/>
  <c r="F46" i="7" s="1"/>
  <c r="D47" i="6"/>
  <c r="D47" i="7" s="1"/>
  <c r="E47" i="6"/>
  <c r="E47" i="7" s="1"/>
  <c r="F47" i="6"/>
  <c r="D48" i="6"/>
  <c r="E48" i="6"/>
  <c r="F48" i="6"/>
  <c r="F48" i="7" s="1"/>
  <c r="D49" i="6"/>
  <c r="E49" i="6"/>
  <c r="E49" i="7" s="1"/>
  <c r="F49" i="6"/>
  <c r="F49" i="7" s="1"/>
  <c r="D50" i="6"/>
  <c r="D50" i="7" s="1"/>
  <c r="E50" i="6"/>
  <c r="F50" i="6"/>
  <c r="D51" i="6"/>
  <c r="E51" i="6"/>
  <c r="E51" i="7" s="1"/>
  <c r="F51" i="6"/>
  <c r="D52" i="6"/>
  <c r="D52" i="7" s="1"/>
  <c r="E52" i="6"/>
  <c r="E52" i="7" s="1"/>
  <c r="F52" i="6"/>
  <c r="F52" i="7" s="1"/>
  <c r="D53" i="6"/>
  <c r="E53" i="6"/>
  <c r="F53" i="6"/>
  <c r="D54" i="6"/>
  <c r="D54" i="7" s="1"/>
  <c r="E54" i="6"/>
  <c r="F54" i="6"/>
  <c r="F54" i="7" s="1"/>
  <c r="D55" i="6"/>
  <c r="D55" i="7" s="1"/>
  <c r="E55" i="6"/>
  <c r="E55" i="7" s="1"/>
  <c r="F55" i="6"/>
  <c r="D56" i="6"/>
  <c r="E56" i="6"/>
  <c r="F56" i="6"/>
  <c r="F56" i="7" s="1"/>
  <c r="D57" i="6"/>
  <c r="E57" i="6"/>
  <c r="E57" i="7" s="1"/>
  <c r="F57" i="6"/>
  <c r="F57" i="7" s="1"/>
  <c r="D58" i="6"/>
  <c r="D58" i="7" s="1"/>
  <c r="E58" i="6"/>
  <c r="F58" i="6"/>
  <c r="D59" i="6"/>
  <c r="E59" i="6"/>
  <c r="E59" i="7" s="1"/>
  <c r="F59" i="6"/>
  <c r="D60" i="6"/>
  <c r="D60" i="7" s="1"/>
  <c r="E60" i="6"/>
  <c r="E60" i="7" s="1"/>
  <c r="F60" i="6"/>
  <c r="F60" i="7" s="1"/>
  <c r="D61" i="6"/>
  <c r="E61" i="6"/>
  <c r="F61" i="6"/>
  <c r="D62" i="6"/>
  <c r="D62" i="7" s="1"/>
  <c r="E62" i="6"/>
  <c r="F62" i="6"/>
  <c r="F62" i="7" s="1"/>
  <c r="D63" i="6"/>
  <c r="D63" i="7" s="1"/>
  <c r="E63" i="6"/>
  <c r="E63" i="7" s="1"/>
  <c r="F63" i="6"/>
  <c r="D64" i="6"/>
  <c r="E64" i="6"/>
  <c r="F64" i="6"/>
  <c r="F64" i="7" s="1"/>
  <c r="D65" i="6"/>
  <c r="E65" i="6"/>
  <c r="E65" i="7" s="1"/>
  <c r="F65" i="6"/>
  <c r="F65" i="7" s="1"/>
  <c r="D66" i="6"/>
  <c r="D66" i="7" s="1"/>
  <c r="E66" i="6"/>
  <c r="F66" i="6"/>
  <c r="D67" i="6"/>
  <c r="E67" i="6"/>
  <c r="E67" i="7" s="1"/>
  <c r="F67" i="6"/>
  <c r="D68" i="6"/>
  <c r="D68" i="7" s="1"/>
  <c r="E68" i="6"/>
  <c r="E68" i="7" s="1"/>
  <c r="F68" i="6"/>
  <c r="F68" i="7" s="1"/>
  <c r="D69" i="6"/>
  <c r="E69" i="6"/>
  <c r="F69" i="6"/>
  <c r="D70" i="6"/>
  <c r="D70" i="7" s="1"/>
  <c r="E70" i="6"/>
  <c r="F70" i="6"/>
  <c r="F70" i="7" s="1"/>
  <c r="D71" i="6"/>
  <c r="D71" i="7" s="1"/>
  <c r="E71" i="6"/>
  <c r="E71" i="7" s="1"/>
  <c r="F71" i="6"/>
  <c r="D72" i="6"/>
  <c r="E72" i="6"/>
  <c r="F72" i="6"/>
  <c r="F72" i="7" s="1"/>
  <c r="D73" i="6"/>
  <c r="E73" i="6"/>
  <c r="E73" i="7" s="1"/>
  <c r="F73" i="6"/>
  <c r="F73" i="7" s="1"/>
  <c r="D74" i="6"/>
  <c r="D74" i="7" s="1"/>
  <c r="E74" i="6"/>
  <c r="F74" i="6"/>
  <c r="D75" i="6"/>
  <c r="E75" i="6"/>
  <c r="E75" i="7" s="1"/>
  <c r="F75" i="6"/>
  <c r="D76" i="6"/>
  <c r="D76" i="7" s="1"/>
  <c r="E76" i="6"/>
  <c r="E76" i="7" s="1"/>
  <c r="F76" i="6"/>
  <c r="F76" i="7" s="1"/>
  <c r="D77" i="6"/>
  <c r="E77" i="6"/>
  <c r="F77" i="6"/>
  <c r="D78" i="6"/>
  <c r="D78" i="7" s="1"/>
  <c r="E78" i="6"/>
  <c r="F78" i="6"/>
  <c r="F78" i="7" s="1"/>
  <c r="D79" i="6"/>
  <c r="D79" i="7" s="1"/>
  <c r="E79" i="6"/>
  <c r="E79" i="7" s="1"/>
  <c r="F79" i="6"/>
  <c r="D80" i="6"/>
  <c r="E80" i="6"/>
  <c r="F80" i="6"/>
  <c r="F80" i="7" s="1"/>
  <c r="D81" i="6"/>
  <c r="E81" i="6"/>
  <c r="E81" i="7" s="1"/>
  <c r="F81" i="6"/>
  <c r="F81" i="7" s="1"/>
  <c r="D82" i="6"/>
  <c r="D82" i="7" s="1"/>
  <c r="E82" i="6"/>
  <c r="F82" i="6"/>
  <c r="D83" i="6"/>
  <c r="E83" i="6"/>
  <c r="E83" i="7" s="1"/>
  <c r="F83" i="6"/>
  <c r="D84" i="6"/>
  <c r="D84" i="7" s="1"/>
  <c r="E84" i="6"/>
  <c r="E84" i="7" s="1"/>
  <c r="F84" i="6"/>
  <c r="F84" i="7" s="1"/>
  <c r="D85" i="6"/>
  <c r="E85" i="6"/>
  <c r="F85" i="6"/>
  <c r="D86" i="6"/>
  <c r="D86" i="7" s="1"/>
  <c r="E86" i="6"/>
  <c r="F86" i="6"/>
  <c r="F86" i="7" s="1"/>
  <c r="D87" i="6"/>
  <c r="D87" i="7" s="1"/>
  <c r="E87" i="6"/>
  <c r="E87" i="7" s="1"/>
  <c r="F87" i="6"/>
  <c r="D88" i="6"/>
  <c r="E88" i="6"/>
  <c r="F88" i="6"/>
  <c r="F88" i="7" s="1"/>
  <c r="D89" i="6"/>
  <c r="E89" i="6"/>
  <c r="E89" i="7" s="1"/>
  <c r="F89" i="6"/>
  <c r="F89" i="7" s="1"/>
  <c r="D90" i="6"/>
  <c r="D90" i="7" s="1"/>
  <c r="E90" i="6"/>
  <c r="F90" i="6"/>
  <c r="D91" i="6"/>
  <c r="E91" i="6"/>
  <c r="E91" i="7" s="1"/>
  <c r="F91" i="6"/>
  <c r="D92" i="6"/>
  <c r="D92" i="7" s="1"/>
  <c r="E92" i="6"/>
  <c r="E92" i="7" s="1"/>
  <c r="F92" i="6"/>
  <c r="F92" i="7" s="1"/>
  <c r="D93" i="6"/>
  <c r="E93" i="6"/>
  <c r="F93" i="6"/>
  <c r="D94" i="6"/>
  <c r="D94" i="7" s="1"/>
  <c r="E94" i="6"/>
  <c r="F94" i="6"/>
  <c r="F94" i="7" s="1"/>
  <c r="D95" i="6"/>
  <c r="D95" i="7" s="1"/>
  <c r="E95" i="6"/>
  <c r="E95" i="7" s="1"/>
  <c r="F95" i="6"/>
  <c r="D96" i="6"/>
  <c r="E96" i="6"/>
  <c r="F96" i="6"/>
  <c r="F96" i="7" s="1"/>
  <c r="D97" i="6"/>
  <c r="E97" i="6"/>
  <c r="E97" i="7" s="1"/>
  <c r="F97" i="6"/>
  <c r="F97" i="7" s="1"/>
  <c r="D98" i="6"/>
  <c r="D98" i="7" s="1"/>
  <c r="E98" i="6"/>
  <c r="F98" i="6"/>
  <c r="D99" i="6"/>
  <c r="E99" i="6"/>
  <c r="E99" i="7" s="1"/>
  <c r="F99" i="6"/>
  <c r="D100" i="6"/>
  <c r="D100" i="7" s="1"/>
  <c r="E100" i="6"/>
  <c r="E100" i="7" s="1"/>
  <c r="F100" i="6"/>
  <c r="F100" i="7" s="1"/>
  <c r="D101" i="6"/>
  <c r="E101" i="6"/>
  <c r="F101" i="6"/>
  <c r="D102" i="6"/>
  <c r="D102" i="7" s="1"/>
  <c r="E102" i="6"/>
  <c r="F102" i="6"/>
  <c r="F102" i="7" s="1"/>
  <c r="D103" i="6"/>
  <c r="D103" i="7" s="1"/>
  <c r="E103" i="6"/>
  <c r="E103" i="7" s="1"/>
  <c r="F103" i="6"/>
  <c r="D104" i="6"/>
  <c r="E104" i="6"/>
  <c r="F104" i="6"/>
  <c r="F104" i="7" s="1"/>
  <c r="D105" i="6"/>
  <c r="E105" i="6"/>
  <c r="E105" i="7" s="1"/>
  <c r="F105" i="6"/>
  <c r="F105" i="7" s="1"/>
  <c r="D106" i="6"/>
  <c r="D106" i="7" s="1"/>
  <c r="E106" i="6"/>
  <c r="F106" i="6"/>
  <c r="D107" i="6"/>
  <c r="E107" i="6"/>
  <c r="E107" i="7" s="1"/>
  <c r="F107" i="6"/>
  <c r="D108" i="6"/>
  <c r="D108" i="7" s="1"/>
  <c r="E108" i="6"/>
  <c r="E108" i="7" s="1"/>
  <c r="F108" i="6"/>
  <c r="F108" i="7" s="1"/>
  <c r="D109" i="6"/>
  <c r="E109" i="6"/>
  <c r="F109" i="6"/>
  <c r="D110" i="6"/>
  <c r="D110" i="7" s="1"/>
  <c r="E110" i="6"/>
  <c r="F110" i="6"/>
  <c r="F110" i="7" s="1"/>
  <c r="D111" i="6"/>
  <c r="D111" i="7" s="1"/>
  <c r="E111" i="6"/>
  <c r="E111" i="7" s="1"/>
  <c r="F111" i="6"/>
  <c r="D112" i="6"/>
  <c r="E112" i="6"/>
  <c r="F112" i="6"/>
  <c r="F112" i="7" s="1"/>
  <c r="D113" i="6"/>
  <c r="E113" i="6"/>
  <c r="E113" i="7" s="1"/>
  <c r="F113" i="6"/>
  <c r="F113" i="7" s="1"/>
  <c r="D114" i="6"/>
  <c r="D114" i="7" s="1"/>
  <c r="E114" i="6"/>
  <c r="F114" i="6"/>
  <c r="D115" i="6"/>
  <c r="E115" i="6"/>
  <c r="E115" i="7" s="1"/>
  <c r="F115" i="6"/>
  <c r="D116" i="6"/>
  <c r="D116" i="7" s="1"/>
  <c r="E116" i="6"/>
  <c r="E116" i="7" s="1"/>
  <c r="F116" i="6"/>
  <c r="F116" i="7" s="1"/>
  <c r="D117" i="6"/>
  <c r="E117" i="6"/>
  <c r="F117" i="6"/>
  <c r="D118" i="6"/>
  <c r="D118" i="7" s="1"/>
  <c r="E118" i="6"/>
  <c r="F118" i="6"/>
  <c r="F118" i="7" s="1"/>
  <c r="D119" i="6"/>
  <c r="D119" i="7" s="1"/>
  <c r="E119" i="6"/>
  <c r="E119" i="7" s="1"/>
  <c r="F119" i="6"/>
  <c r="D120" i="6"/>
  <c r="E120" i="6"/>
  <c r="F120" i="6"/>
  <c r="F120" i="7" s="1"/>
  <c r="D121" i="6"/>
  <c r="E121" i="6"/>
  <c r="E121" i="7" s="1"/>
  <c r="F121" i="6"/>
  <c r="F121" i="7" s="1"/>
  <c r="D122" i="6"/>
  <c r="D122" i="7" s="1"/>
  <c r="E122" i="6"/>
  <c r="F122" i="6"/>
  <c r="D123" i="6"/>
  <c r="E123" i="6"/>
  <c r="E123" i="7" s="1"/>
  <c r="F123" i="6"/>
  <c r="D124" i="6"/>
  <c r="D124" i="7" s="1"/>
  <c r="E124" i="6"/>
  <c r="E124" i="7" s="1"/>
  <c r="F124" i="6"/>
  <c r="F124" i="7" s="1"/>
  <c r="D125" i="6"/>
  <c r="E125" i="6"/>
  <c r="F125" i="6"/>
  <c r="D126" i="6"/>
  <c r="D126" i="7" s="1"/>
  <c r="E126" i="6"/>
  <c r="F126" i="6"/>
  <c r="F126" i="7" s="1"/>
  <c r="D127" i="6"/>
  <c r="D127" i="7" s="1"/>
  <c r="E127" i="6"/>
  <c r="E127" i="7" s="1"/>
  <c r="F127" i="6"/>
  <c r="D128" i="6"/>
  <c r="E128" i="6"/>
  <c r="F128" i="6"/>
  <c r="F128" i="7" s="1"/>
  <c r="D129" i="6"/>
  <c r="E129" i="6"/>
  <c r="E129" i="7" s="1"/>
  <c r="F129" i="6"/>
  <c r="F129" i="7" s="1"/>
  <c r="D130" i="6"/>
  <c r="D130" i="7" s="1"/>
  <c r="E130" i="6"/>
  <c r="F130" i="6"/>
  <c r="D131" i="6"/>
  <c r="E131" i="6"/>
  <c r="E131" i="7" s="1"/>
  <c r="F131" i="6"/>
  <c r="D132" i="6"/>
  <c r="D132" i="7" s="1"/>
  <c r="E132" i="6"/>
  <c r="E132" i="7" s="1"/>
  <c r="F132" i="6"/>
  <c r="F132" i="7" s="1"/>
  <c r="D133" i="6"/>
  <c r="E133" i="6"/>
  <c r="F133" i="6"/>
  <c r="D134" i="6"/>
  <c r="D134" i="7" s="1"/>
  <c r="E134" i="6"/>
  <c r="F134" i="6"/>
  <c r="F134" i="7" s="1"/>
  <c r="D135" i="6"/>
  <c r="D135" i="7" s="1"/>
  <c r="E135" i="6"/>
  <c r="E135" i="7" s="1"/>
  <c r="F135" i="6"/>
  <c r="D136" i="6"/>
  <c r="E136" i="6"/>
  <c r="F136" i="6"/>
  <c r="F136" i="7" s="1"/>
  <c r="D137" i="6"/>
  <c r="E137" i="6"/>
  <c r="E137" i="7" s="1"/>
  <c r="F137" i="6"/>
  <c r="F137" i="7" s="1"/>
  <c r="D138" i="6"/>
  <c r="D138" i="7" s="1"/>
  <c r="E138" i="6"/>
  <c r="F138" i="6"/>
  <c r="D139" i="6"/>
  <c r="E139" i="6"/>
  <c r="E139" i="7" s="1"/>
  <c r="F139" i="6"/>
  <c r="D140" i="6"/>
  <c r="D140" i="7" s="1"/>
  <c r="E140" i="6"/>
  <c r="E140" i="7" s="1"/>
  <c r="F140" i="6"/>
  <c r="F140" i="7" s="1"/>
  <c r="D141" i="6"/>
  <c r="E141" i="6"/>
  <c r="F141" i="6"/>
  <c r="D142" i="6"/>
  <c r="D142" i="7" s="1"/>
  <c r="E142" i="6"/>
  <c r="F142" i="6"/>
  <c r="F142" i="7" s="1"/>
  <c r="D143" i="6"/>
  <c r="D143" i="7" s="1"/>
  <c r="E143" i="6"/>
  <c r="E143" i="7" s="1"/>
  <c r="F143" i="6"/>
  <c r="D144" i="6"/>
  <c r="E144" i="6"/>
  <c r="F144" i="6"/>
  <c r="F144" i="7" s="1"/>
  <c r="D145" i="6"/>
  <c r="E145" i="6"/>
  <c r="E145" i="7" s="1"/>
  <c r="F145" i="6"/>
  <c r="F145" i="7" s="1"/>
  <c r="D146" i="6"/>
  <c r="D146" i="7" s="1"/>
  <c r="E146" i="6"/>
  <c r="F146" i="6"/>
  <c r="D147" i="6"/>
  <c r="E147" i="6"/>
  <c r="E147" i="7" s="1"/>
  <c r="F147" i="6"/>
  <c r="D148" i="6"/>
  <c r="D148" i="7" s="1"/>
  <c r="E148" i="6"/>
  <c r="E148" i="7" s="1"/>
  <c r="F148" i="6"/>
  <c r="F148" i="7" s="1"/>
  <c r="D149" i="6"/>
  <c r="E149" i="6"/>
  <c r="F149" i="6"/>
  <c r="D150" i="6"/>
  <c r="D150" i="7" s="1"/>
  <c r="E150" i="6"/>
  <c r="F150" i="6"/>
  <c r="F150" i="7" s="1"/>
  <c r="D151" i="6"/>
  <c r="D151" i="7" s="1"/>
  <c r="E151" i="6"/>
  <c r="E151" i="7" s="1"/>
  <c r="F151" i="6"/>
  <c r="D152" i="6"/>
  <c r="E152" i="6"/>
  <c r="F152" i="6"/>
  <c r="F152" i="7" s="1"/>
  <c r="D153" i="6"/>
  <c r="E153" i="6"/>
  <c r="E153" i="7" s="1"/>
  <c r="F153" i="6"/>
  <c r="F153" i="7" s="1"/>
  <c r="D154" i="6"/>
  <c r="D154" i="7" s="1"/>
  <c r="E154" i="6"/>
  <c r="F154" i="6"/>
  <c r="D155" i="6"/>
  <c r="E155" i="6"/>
  <c r="E155" i="7" s="1"/>
  <c r="F155" i="6"/>
  <c r="D156" i="6"/>
  <c r="D156" i="7" s="1"/>
  <c r="E156" i="6"/>
  <c r="E156" i="7" s="1"/>
  <c r="F156" i="6"/>
  <c r="F156" i="7" s="1"/>
  <c r="D157" i="6"/>
  <c r="E157" i="6"/>
  <c r="F157" i="6"/>
  <c r="D158" i="6"/>
  <c r="D158" i="7" s="1"/>
  <c r="E158" i="6"/>
  <c r="F158" i="6"/>
  <c r="F158" i="7" s="1"/>
  <c r="D159" i="6"/>
  <c r="D159" i="7" s="1"/>
  <c r="E159" i="6"/>
  <c r="E159" i="7" s="1"/>
  <c r="F159" i="6"/>
  <c r="D160" i="6"/>
  <c r="E160" i="6"/>
  <c r="F160" i="6"/>
  <c r="F160" i="7" s="1"/>
  <c r="D161" i="6"/>
  <c r="E161" i="6"/>
  <c r="E161" i="7" s="1"/>
  <c r="F161" i="6"/>
  <c r="F161" i="7" s="1"/>
  <c r="D162" i="6"/>
  <c r="D162" i="7" s="1"/>
  <c r="E162" i="6"/>
  <c r="F162" i="6"/>
  <c r="D163" i="6"/>
  <c r="E163" i="6"/>
  <c r="E163" i="7" s="1"/>
  <c r="F163" i="6"/>
  <c r="D164" i="6"/>
  <c r="D164" i="7" s="1"/>
  <c r="E164" i="6"/>
  <c r="E164" i="7" s="1"/>
  <c r="F164" i="6"/>
  <c r="F164" i="7" s="1"/>
  <c r="D165" i="6"/>
  <c r="E165" i="6"/>
  <c r="F165" i="6"/>
  <c r="D166" i="6"/>
  <c r="E166" i="6"/>
  <c r="F166" i="6"/>
  <c r="F166" i="7" s="1"/>
  <c r="D167" i="6"/>
  <c r="D167" i="7" s="1"/>
  <c r="E167" i="6"/>
  <c r="E167" i="7" s="1"/>
  <c r="F167" i="6"/>
  <c r="D168" i="6"/>
  <c r="E168" i="6"/>
  <c r="F168" i="6"/>
  <c r="D169" i="6"/>
  <c r="E169" i="6"/>
  <c r="E169" i="7" s="1"/>
  <c r="F169" i="6"/>
  <c r="F169" i="7" s="1"/>
  <c r="D170" i="6"/>
  <c r="D170" i="7" s="1"/>
  <c r="E170" i="6"/>
  <c r="F170" i="6"/>
  <c r="D171" i="6"/>
  <c r="E171" i="6"/>
  <c r="F171" i="6"/>
  <c r="D172" i="6"/>
  <c r="D172" i="7" s="1"/>
  <c r="E172" i="6"/>
  <c r="E172" i="7" s="1"/>
  <c r="F172" i="6"/>
  <c r="F172" i="7" s="1"/>
  <c r="D173" i="6"/>
  <c r="E173" i="6"/>
  <c r="F173" i="6"/>
  <c r="D174" i="6"/>
  <c r="E174" i="6"/>
  <c r="F174" i="6"/>
  <c r="F174" i="7" s="1"/>
  <c r="D175" i="6"/>
  <c r="D175" i="7" s="1"/>
  <c r="E175" i="6"/>
  <c r="E175" i="7" s="1"/>
  <c r="F175" i="6"/>
  <c r="D176" i="6"/>
  <c r="E176" i="6"/>
  <c r="F176" i="6"/>
  <c r="D177" i="6"/>
  <c r="E177" i="6"/>
  <c r="E177" i="7" s="1"/>
  <c r="F177" i="6"/>
  <c r="F177" i="7" s="1"/>
  <c r="D178" i="6"/>
  <c r="D178" i="7" s="1"/>
  <c r="E178" i="6"/>
  <c r="F178" i="6"/>
  <c r="D179" i="6"/>
  <c r="E179" i="6"/>
  <c r="F179" i="6"/>
  <c r="D180" i="6"/>
  <c r="D180" i="7" s="1"/>
  <c r="E180" i="6"/>
  <c r="E180" i="7" s="1"/>
  <c r="F180" i="6"/>
  <c r="F180" i="7" s="1"/>
  <c r="D181" i="6"/>
  <c r="E181" i="6"/>
  <c r="F181" i="6"/>
  <c r="D182" i="6"/>
  <c r="E182" i="6"/>
  <c r="F182" i="6"/>
  <c r="F182" i="7" s="1"/>
  <c r="D183" i="6"/>
  <c r="D183" i="7" s="1"/>
  <c r="E183" i="6"/>
  <c r="E183" i="7" s="1"/>
  <c r="F183" i="6"/>
  <c r="D184" i="6"/>
  <c r="E184" i="6"/>
  <c r="F184" i="6"/>
  <c r="D185" i="6"/>
  <c r="E185" i="6"/>
  <c r="E185" i="7" s="1"/>
  <c r="F185" i="6"/>
  <c r="F185" i="7" s="1"/>
  <c r="D186" i="6"/>
  <c r="D186" i="7" s="1"/>
  <c r="E186" i="6"/>
  <c r="F186" i="6"/>
  <c r="D187" i="6"/>
  <c r="E187" i="6"/>
  <c r="F187" i="6"/>
  <c r="D188" i="6"/>
  <c r="D188" i="7" s="1"/>
  <c r="E188" i="6"/>
  <c r="E188" i="7" s="1"/>
  <c r="F188" i="6"/>
  <c r="F188" i="7" s="1"/>
  <c r="D189" i="6"/>
  <c r="E189" i="6"/>
  <c r="F189" i="6"/>
  <c r="D190" i="6"/>
  <c r="E190" i="6"/>
  <c r="F190" i="6"/>
  <c r="F190" i="7" s="1"/>
  <c r="D191" i="6"/>
  <c r="D191" i="7" s="1"/>
  <c r="E191" i="6"/>
  <c r="E191" i="7" s="1"/>
  <c r="F191" i="6"/>
  <c r="D192" i="6"/>
  <c r="E192" i="6"/>
  <c r="F192" i="6"/>
  <c r="D193" i="6"/>
  <c r="E193" i="6"/>
  <c r="E193" i="7" s="1"/>
  <c r="F193" i="6"/>
  <c r="F193" i="7" s="1"/>
  <c r="D194" i="6"/>
  <c r="D194" i="7" s="1"/>
  <c r="E194" i="6"/>
  <c r="F194" i="6"/>
  <c r="D195" i="6"/>
  <c r="E195" i="6"/>
  <c r="F195" i="6"/>
  <c r="D196" i="6"/>
  <c r="D196" i="7" s="1"/>
  <c r="E196" i="6"/>
  <c r="E196" i="7" s="1"/>
  <c r="F196" i="6"/>
  <c r="F196" i="7" s="1"/>
  <c r="D197" i="6"/>
  <c r="E197" i="6"/>
  <c r="F197" i="6"/>
  <c r="D198" i="6"/>
  <c r="E198" i="6"/>
  <c r="F198" i="6"/>
  <c r="F198" i="7" s="1"/>
  <c r="D199" i="6"/>
  <c r="D199" i="7" s="1"/>
  <c r="E199" i="6"/>
  <c r="E199" i="7" s="1"/>
  <c r="F199" i="6"/>
  <c r="D200" i="6"/>
  <c r="E200" i="6"/>
  <c r="F200" i="6"/>
  <c r="D201" i="6"/>
  <c r="E201" i="6"/>
  <c r="E201" i="7" s="1"/>
  <c r="F201" i="6"/>
  <c r="F201" i="7" s="1"/>
  <c r="D202" i="6"/>
  <c r="D202" i="7" s="1"/>
  <c r="E202" i="6"/>
  <c r="F202" i="6"/>
  <c r="D203" i="6"/>
  <c r="E203" i="6"/>
  <c r="F203" i="6"/>
  <c r="D204" i="6"/>
  <c r="D204" i="7" s="1"/>
  <c r="E204" i="6"/>
  <c r="E204" i="7" s="1"/>
  <c r="F204" i="6"/>
  <c r="F204" i="7" s="1"/>
  <c r="D205" i="6"/>
  <c r="E205" i="6"/>
  <c r="F205" i="6"/>
  <c r="D206" i="6"/>
  <c r="E206" i="6"/>
  <c r="F206" i="6"/>
  <c r="F206" i="7" s="1"/>
  <c r="D207" i="6"/>
  <c r="D207" i="7" s="1"/>
  <c r="E207" i="6"/>
  <c r="E207" i="7" s="1"/>
  <c r="F207" i="6"/>
  <c r="D208" i="6"/>
  <c r="E208" i="6"/>
  <c r="F208" i="6"/>
  <c r="D209" i="6"/>
  <c r="E209" i="6"/>
  <c r="E209" i="7" s="1"/>
  <c r="F209" i="6"/>
  <c r="F209" i="7" s="1"/>
  <c r="D210" i="6"/>
  <c r="D210" i="7" s="1"/>
  <c r="E210" i="6"/>
  <c r="F210" i="6"/>
  <c r="D211" i="6"/>
  <c r="E211" i="6"/>
  <c r="F211" i="6"/>
  <c r="D212" i="6"/>
  <c r="D212" i="7" s="1"/>
  <c r="E212" i="6"/>
  <c r="E212" i="7" s="1"/>
  <c r="F212" i="6"/>
  <c r="F212" i="7" s="1"/>
  <c r="D213" i="6"/>
  <c r="E213" i="6"/>
  <c r="F213" i="6"/>
  <c r="D214" i="6"/>
  <c r="E214" i="6"/>
  <c r="F214" i="6"/>
  <c r="F214" i="7" s="1"/>
  <c r="D215" i="6"/>
  <c r="D215" i="7" s="1"/>
  <c r="E215" i="6"/>
  <c r="E215" i="7" s="1"/>
  <c r="F215" i="6"/>
  <c r="D216" i="6"/>
  <c r="E216" i="6"/>
  <c r="F216" i="6"/>
  <c r="D217" i="6"/>
  <c r="E217" i="6"/>
  <c r="E217" i="7" s="1"/>
  <c r="F217" i="6"/>
  <c r="F217" i="7" s="1"/>
  <c r="D218" i="6"/>
  <c r="D218" i="7" s="1"/>
  <c r="E218" i="6"/>
  <c r="F218" i="6"/>
  <c r="D219" i="6"/>
  <c r="E219" i="6"/>
  <c r="F219" i="6"/>
  <c r="D220" i="6"/>
  <c r="D220" i="7" s="1"/>
  <c r="E220" i="6"/>
  <c r="E220" i="7" s="1"/>
  <c r="F220" i="6"/>
  <c r="F220" i="7" s="1"/>
  <c r="D221" i="6"/>
  <c r="E221" i="6"/>
  <c r="F221" i="6"/>
  <c r="D222" i="6"/>
  <c r="E222" i="6"/>
  <c r="F222" i="6"/>
  <c r="F222" i="7" s="1"/>
  <c r="D223" i="6"/>
  <c r="D223" i="7" s="1"/>
  <c r="E223" i="6"/>
  <c r="E223" i="7" s="1"/>
  <c r="F223" i="6"/>
  <c r="D224" i="6"/>
  <c r="E224" i="6"/>
  <c r="F224" i="6"/>
  <c r="D225" i="6"/>
  <c r="E225" i="6"/>
  <c r="E225" i="7" s="1"/>
  <c r="F225" i="6"/>
  <c r="F225" i="7" s="1"/>
  <c r="D226" i="6"/>
  <c r="D226" i="7" s="1"/>
  <c r="E226" i="6"/>
  <c r="F226" i="6"/>
  <c r="D227" i="6"/>
  <c r="E227" i="6"/>
  <c r="F227" i="6"/>
  <c r="D228" i="6"/>
  <c r="D228" i="7" s="1"/>
  <c r="E228" i="6"/>
  <c r="E228" i="7" s="1"/>
  <c r="F228" i="6"/>
  <c r="F228" i="7" s="1"/>
  <c r="D229" i="6"/>
  <c r="E229" i="6"/>
  <c r="F229" i="6"/>
  <c r="D230" i="6"/>
  <c r="E230" i="6"/>
  <c r="F230" i="6"/>
  <c r="F230" i="7" s="1"/>
  <c r="D231" i="6"/>
  <c r="D231" i="7" s="1"/>
  <c r="E231" i="6"/>
  <c r="E231" i="7" s="1"/>
  <c r="F231" i="6"/>
  <c r="D232" i="6"/>
  <c r="E232" i="6"/>
  <c r="F232" i="6"/>
  <c r="D233" i="6"/>
  <c r="E233" i="6"/>
  <c r="E233" i="7" s="1"/>
  <c r="F233" i="6"/>
  <c r="F233" i="7" s="1"/>
  <c r="D234" i="6"/>
  <c r="D234" i="7" s="1"/>
  <c r="E234" i="6"/>
  <c r="F234" i="6"/>
  <c r="D235" i="6"/>
  <c r="E235" i="6"/>
  <c r="F235" i="6"/>
  <c r="D236" i="6"/>
  <c r="D236" i="7" s="1"/>
  <c r="E236" i="6"/>
  <c r="E236" i="7" s="1"/>
  <c r="F236" i="6"/>
  <c r="F236" i="7" s="1"/>
  <c r="D237" i="6"/>
  <c r="E237" i="6"/>
  <c r="F237" i="6"/>
  <c r="D238" i="6"/>
  <c r="E238" i="6"/>
  <c r="F238" i="6"/>
  <c r="F238" i="7" s="1"/>
  <c r="D239" i="6"/>
  <c r="D239" i="7" s="1"/>
  <c r="E239" i="6"/>
  <c r="E239" i="7" s="1"/>
  <c r="F239" i="6"/>
  <c r="D240" i="6"/>
  <c r="E240" i="6"/>
  <c r="F240" i="6"/>
  <c r="D241" i="6"/>
  <c r="E241" i="6"/>
  <c r="E241" i="7" s="1"/>
  <c r="F241" i="6"/>
  <c r="F241" i="7" s="1"/>
  <c r="D242" i="6"/>
  <c r="D242" i="7" s="1"/>
  <c r="E242" i="6"/>
  <c r="F242" i="6"/>
  <c r="D243" i="6"/>
  <c r="E243" i="6"/>
  <c r="F243" i="6"/>
  <c r="D244" i="6"/>
  <c r="D244" i="7" s="1"/>
  <c r="E244" i="6"/>
  <c r="E244" i="7" s="1"/>
  <c r="F244" i="6"/>
  <c r="F244" i="7" s="1"/>
  <c r="D245" i="6"/>
  <c r="E245" i="6"/>
  <c r="F245" i="6"/>
  <c r="D246" i="6"/>
  <c r="E246" i="6"/>
  <c r="F246" i="6"/>
  <c r="F246" i="7" s="1"/>
  <c r="D247" i="6"/>
  <c r="D247" i="7" s="1"/>
  <c r="E247" i="6"/>
  <c r="E247" i="7" s="1"/>
  <c r="F247" i="6"/>
  <c r="D248" i="6"/>
  <c r="E248" i="6"/>
  <c r="F248" i="6"/>
  <c r="D249" i="6"/>
  <c r="E249" i="6"/>
  <c r="E249" i="7" s="1"/>
  <c r="F249" i="6"/>
  <c r="F249" i="7" s="1"/>
  <c r="D250" i="6"/>
  <c r="D250" i="7" s="1"/>
  <c r="E250" i="6"/>
  <c r="F250" i="6"/>
  <c r="D251" i="6"/>
  <c r="D251" i="7" s="1"/>
  <c r="E251" i="6"/>
  <c r="E251" i="7" s="1"/>
  <c r="F251" i="6"/>
  <c r="F251" i="7" s="1"/>
  <c r="F2" i="6"/>
  <c r="F2" i="7" s="1"/>
  <c r="E2" i="6"/>
  <c r="E2" i="7" s="1"/>
  <c r="D2" i="6"/>
  <c r="D2" i="7" s="1"/>
  <c r="C3" i="6"/>
  <c r="C3" i="7" s="1"/>
  <c r="C4" i="6"/>
  <c r="C5" i="6"/>
  <c r="C6" i="6"/>
  <c r="C6" i="7" s="1"/>
  <c r="C7" i="6"/>
  <c r="C8" i="6"/>
  <c r="C9" i="6"/>
  <c r="C9" i="7" s="1"/>
  <c r="C10" i="6"/>
  <c r="C10" i="7" s="1"/>
  <c r="C11" i="6"/>
  <c r="C11" i="7" s="1"/>
  <c r="C12" i="6"/>
  <c r="C13" i="6"/>
  <c r="C14" i="6"/>
  <c r="C14" i="7" s="1"/>
  <c r="C15" i="6"/>
  <c r="C16" i="6"/>
  <c r="C17" i="6"/>
  <c r="C17" i="7" s="1"/>
  <c r="C18" i="6"/>
  <c r="C18" i="7" s="1"/>
  <c r="C19" i="6"/>
  <c r="C19" i="7" s="1"/>
  <c r="C20" i="6"/>
  <c r="C21" i="6"/>
  <c r="C22" i="6"/>
  <c r="C22" i="7" s="1"/>
  <c r="C23" i="6"/>
  <c r="C24" i="6"/>
  <c r="C25" i="6"/>
  <c r="C25" i="7" s="1"/>
  <c r="C26" i="6"/>
  <c r="C26" i="7" s="1"/>
  <c r="C27" i="6"/>
  <c r="C27" i="7" s="1"/>
  <c r="C28" i="6"/>
  <c r="C29" i="6"/>
  <c r="C30" i="6"/>
  <c r="C30" i="7" s="1"/>
  <c r="C31" i="6"/>
  <c r="C32" i="6"/>
  <c r="C33" i="6"/>
  <c r="C33" i="7" s="1"/>
  <c r="C34" i="6"/>
  <c r="C34" i="7" s="1"/>
  <c r="C35" i="6"/>
  <c r="C35" i="7" s="1"/>
  <c r="C36" i="6"/>
  <c r="C37" i="6"/>
  <c r="C38" i="6"/>
  <c r="C38" i="7" s="1"/>
  <c r="C39" i="6"/>
  <c r="C40" i="6"/>
  <c r="C41" i="6"/>
  <c r="C41" i="7" s="1"/>
  <c r="C42" i="6"/>
  <c r="C42" i="7" s="1"/>
  <c r="C43" i="6"/>
  <c r="C43" i="7" s="1"/>
  <c r="C44" i="6"/>
  <c r="C45" i="6"/>
  <c r="C46" i="6"/>
  <c r="C46" i="7" s="1"/>
  <c r="C47" i="6"/>
  <c r="C48" i="6"/>
  <c r="C49" i="6"/>
  <c r="C49" i="7" s="1"/>
  <c r="C50" i="6"/>
  <c r="C50" i="7" s="1"/>
  <c r="C51" i="6"/>
  <c r="C51" i="7" s="1"/>
  <c r="C52" i="6"/>
  <c r="C53" i="6"/>
  <c r="C54" i="6"/>
  <c r="C54" i="7" s="1"/>
  <c r="C55" i="6"/>
  <c r="C56" i="6"/>
  <c r="C57" i="6"/>
  <c r="C57" i="7" s="1"/>
  <c r="C58" i="6"/>
  <c r="C58" i="7" s="1"/>
  <c r="C59" i="6"/>
  <c r="C59" i="7" s="1"/>
  <c r="C60" i="6"/>
  <c r="C61" i="6"/>
  <c r="C62" i="6"/>
  <c r="C62" i="7" s="1"/>
  <c r="C63" i="6"/>
  <c r="C64" i="6"/>
  <c r="C65" i="6"/>
  <c r="C65" i="7" s="1"/>
  <c r="C66" i="6"/>
  <c r="C66" i="7" s="1"/>
  <c r="C67" i="6"/>
  <c r="C67" i="7" s="1"/>
  <c r="C68" i="6"/>
  <c r="C69" i="6"/>
  <c r="C70" i="6"/>
  <c r="C70" i="7" s="1"/>
  <c r="C71" i="6"/>
  <c r="C72" i="6"/>
  <c r="C73" i="6"/>
  <c r="C73" i="7" s="1"/>
  <c r="C74" i="6"/>
  <c r="C74" i="7" s="1"/>
  <c r="C75" i="6"/>
  <c r="C75" i="7" s="1"/>
  <c r="C76" i="6"/>
  <c r="C77" i="6"/>
  <c r="C78" i="6"/>
  <c r="C78" i="7" s="1"/>
  <c r="C79" i="6"/>
  <c r="C80" i="6"/>
  <c r="C81" i="6"/>
  <c r="C81" i="7" s="1"/>
  <c r="C82" i="6"/>
  <c r="C82" i="7" s="1"/>
  <c r="C83" i="6"/>
  <c r="C83" i="7" s="1"/>
  <c r="C84" i="6"/>
  <c r="C85" i="6"/>
  <c r="C86" i="6"/>
  <c r="C86" i="7" s="1"/>
  <c r="C87" i="6"/>
  <c r="C88" i="6"/>
  <c r="C89" i="6"/>
  <c r="C89" i="7" s="1"/>
  <c r="C90" i="6"/>
  <c r="C90" i="7" s="1"/>
  <c r="C91" i="6"/>
  <c r="C91" i="7" s="1"/>
  <c r="C92" i="6"/>
  <c r="C93" i="6"/>
  <c r="C94" i="6"/>
  <c r="C94" i="7" s="1"/>
  <c r="C95" i="6"/>
  <c r="C96" i="6"/>
  <c r="C97" i="6"/>
  <c r="C97" i="7" s="1"/>
  <c r="C98" i="6"/>
  <c r="C98" i="7" s="1"/>
  <c r="C99" i="6"/>
  <c r="C99" i="7" s="1"/>
  <c r="C100" i="6"/>
  <c r="C101" i="6"/>
  <c r="C102" i="6"/>
  <c r="C102" i="7" s="1"/>
  <c r="C103" i="6"/>
  <c r="C104" i="6"/>
  <c r="C105" i="6"/>
  <c r="C105" i="7" s="1"/>
  <c r="C106" i="6"/>
  <c r="C106" i="7" s="1"/>
  <c r="C107" i="6"/>
  <c r="C107" i="7" s="1"/>
  <c r="C108" i="6"/>
  <c r="C109" i="6"/>
  <c r="C110" i="6"/>
  <c r="C110" i="7" s="1"/>
  <c r="C111" i="6"/>
  <c r="C112" i="6"/>
  <c r="C113" i="6"/>
  <c r="C113" i="7" s="1"/>
  <c r="C114" i="6"/>
  <c r="C114" i="7" s="1"/>
  <c r="C115" i="6"/>
  <c r="C115" i="7" s="1"/>
  <c r="C116" i="6"/>
  <c r="C117" i="6"/>
  <c r="C118" i="6"/>
  <c r="C118" i="7" s="1"/>
  <c r="C119" i="6"/>
  <c r="C120" i="6"/>
  <c r="C121" i="6"/>
  <c r="C121" i="7" s="1"/>
  <c r="C122" i="6"/>
  <c r="C122" i="7" s="1"/>
  <c r="C123" i="6"/>
  <c r="C123" i="7" s="1"/>
  <c r="C124" i="6"/>
  <c r="C125" i="6"/>
  <c r="C126" i="6"/>
  <c r="C126" i="7" s="1"/>
  <c r="C127" i="6"/>
  <c r="C128" i="6"/>
  <c r="C129" i="6"/>
  <c r="C129" i="7" s="1"/>
  <c r="C130" i="6"/>
  <c r="C130" i="7" s="1"/>
  <c r="C131" i="6"/>
  <c r="C131" i="7" s="1"/>
  <c r="C132" i="6"/>
  <c r="C133" i="6"/>
  <c r="C134" i="6"/>
  <c r="C134" i="7" s="1"/>
  <c r="C135" i="6"/>
  <c r="C136" i="6"/>
  <c r="C137" i="6"/>
  <c r="C137" i="7" s="1"/>
  <c r="C138" i="6"/>
  <c r="C138" i="7" s="1"/>
  <c r="C139" i="6"/>
  <c r="C139" i="7" s="1"/>
  <c r="C140" i="6"/>
  <c r="C141" i="6"/>
  <c r="C142" i="6"/>
  <c r="C142" i="7" s="1"/>
  <c r="C143" i="6"/>
  <c r="C144" i="6"/>
  <c r="C145" i="6"/>
  <c r="C145" i="7" s="1"/>
  <c r="C146" i="6"/>
  <c r="C146" i="7" s="1"/>
  <c r="C147" i="6"/>
  <c r="C147" i="7" s="1"/>
  <c r="C148" i="6"/>
  <c r="C149" i="6"/>
  <c r="C150" i="6"/>
  <c r="C150" i="7" s="1"/>
  <c r="C151" i="6"/>
  <c r="C152" i="6"/>
  <c r="C153" i="6"/>
  <c r="C153" i="7" s="1"/>
  <c r="C154" i="6"/>
  <c r="C154" i="7" s="1"/>
  <c r="C155" i="6"/>
  <c r="C156" i="6"/>
  <c r="C156" i="7" s="1"/>
  <c r="C157" i="6"/>
  <c r="C158" i="6"/>
  <c r="C158" i="7" s="1"/>
  <c r="C159" i="6"/>
  <c r="C160" i="6"/>
  <c r="C161" i="6"/>
  <c r="C161" i="7" s="1"/>
  <c r="C162" i="6"/>
  <c r="C162" i="7" s="1"/>
  <c r="C163" i="6"/>
  <c r="C164" i="6"/>
  <c r="C164" i="7" s="1"/>
  <c r="C165" i="6"/>
  <c r="C166" i="6"/>
  <c r="C166" i="7" s="1"/>
  <c r="C167" i="6"/>
  <c r="C168" i="6"/>
  <c r="C169" i="6"/>
  <c r="C169" i="7" s="1"/>
  <c r="C170" i="6"/>
  <c r="C170" i="7" s="1"/>
  <c r="C171" i="6"/>
  <c r="C172" i="6"/>
  <c r="C172" i="7" s="1"/>
  <c r="C173" i="6"/>
  <c r="C174" i="6"/>
  <c r="C174" i="7" s="1"/>
  <c r="C175" i="6"/>
  <c r="C176" i="6"/>
  <c r="C177" i="6"/>
  <c r="C177" i="7" s="1"/>
  <c r="C178" i="6"/>
  <c r="C178" i="7" s="1"/>
  <c r="C179" i="6"/>
  <c r="C180" i="6"/>
  <c r="C180" i="7" s="1"/>
  <c r="C181" i="6"/>
  <c r="C182" i="6"/>
  <c r="C182" i="7" s="1"/>
  <c r="C183" i="6"/>
  <c r="C184" i="6"/>
  <c r="C185" i="6"/>
  <c r="C185" i="7" s="1"/>
  <c r="C186" i="6"/>
  <c r="C186" i="7" s="1"/>
  <c r="C187" i="6"/>
  <c r="C188" i="6"/>
  <c r="C188" i="7" s="1"/>
  <c r="C189" i="6"/>
  <c r="C190" i="6"/>
  <c r="C190" i="7" s="1"/>
  <c r="C191" i="6"/>
  <c r="C192" i="6"/>
  <c r="C193" i="6"/>
  <c r="C193" i="7" s="1"/>
  <c r="C194" i="6"/>
  <c r="C194" i="7" s="1"/>
  <c r="C195" i="6"/>
  <c r="C196" i="6"/>
  <c r="C196" i="7" s="1"/>
  <c r="C197" i="6"/>
  <c r="C198" i="6"/>
  <c r="C198" i="7" s="1"/>
  <c r="C199" i="6"/>
  <c r="C200" i="6"/>
  <c r="C201" i="6"/>
  <c r="C201" i="7" s="1"/>
  <c r="C202" i="6"/>
  <c r="C202" i="7" s="1"/>
  <c r="C203" i="6"/>
  <c r="C204" i="6"/>
  <c r="C204" i="7" s="1"/>
  <c r="C205" i="6"/>
  <c r="C206" i="6"/>
  <c r="C206" i="7" s="1"/>
  <c r="C207" i="6"/>
  <c r="C208" i="6"/>
  <c r="C209" i="6"/>
  <c r="C209" i="7" s="1"/>
  <c r="C210" i="6"/>
  <c r="C210" i="7" s="1"/>
  <c r="C211" i="6"/>
  <c r="C212" i="6"/>
  <c r="C212" i="7" s="1"/>
  <c r="C213" i="6"/>
  <c r="C214" i="6"/>
  <c r="C214" i="7" s="1"/>
  <c r="C215" i="6"/>
  <c r="C216" i="6"/>
  <c r="C217" i="6"/>
  <c r="C217" i="7" s="1"/>
  <c r="C218" i="6"/>
  <c r="C218" i="7" s="1"/>
  <c r="C219" i="6"/>
  <c r="C220" i="6"/>
  <c r="C220" i="7" s="1"/>
  <c r="C221" i="6"/>
  <c r="C222" i="6"/>
  <c r="C222" i="7" s="1"/>
  <c r="C223" i="6"/>
  <c r="C224" i="6"/>
  <c r="C225" i="6"/>
  <c r="C225" i="7" s="1"/>
  <c r="C226" i="6"/>
  <c r="C226" i="7" s="1"/>
  <c r="C227" i="6"/>
  <c r="C228" i="6"/>
  <c r="C228" i="7" s="1"/>
  <c r="C229" i="6"/>
  <c r="C230" i="6"/>
  <c r="C230" i="7" s="1"/>
  <c r="C231" i="6"/>
  <c r="C232" i="6"/>
  <c r="C233" i="6"/>
  <c r="C233" i="7" s="1"/>
  <c r="C234" i="6"/>
  <c r="C234" i="7" s="1"/>
  <c r="C235" i="6"/>
  <c r="C236" i="6"/>
  <c r="C236" i="7" s="1"/>
  <c r="C237" i="6"/>
  <c r="C238" i="6"/>
  <c r="C238" i="7" s="1"/>
  <c r="C239" i="6"/>
  <c r="C240" i="6"/>
  <c r="C241" i="6"/>
  <c r="C241" i="7" s="1"/>
  <c r="C242" i="6"/>
  <c r="C242" i="7" s="1"/>
  <c r="C243" i="6"/>
  <c r="C244" i="6"/>
  <c r="C244" i="7" s="1"/>
  <c r="C245" i="6"/>
  <c r="C246" i="6"/>
  <c r="C246" i="7" s="1"/>
  <c r="C247" i="6"/>
  <c r="C248" i="6"/>
  <c r="C249" i="6"/>
  <c r="C249" i="7" s="1"/>
  <c r="C250" i="6"/>
  <c r="C250" i="7" s="1"/>
  <c r="C251" i="6"/>
  <c r="C251" i="7" s="1"/>
  <c r="C2" i="6"/>
  <c r="C2" i="7" s="1"/>
  <c r="C232" i="7" l="1"/>
  <c r="C192" i="7"/>
  <c r="C152" i="7"/>
  <c r="C104" i="7"/>
  <c r="C80" i="7"/>
  <c r="C40" i="7"/>
  <c r="C8" i="7"/>
  <c r="C247" i="7"/>
  <c r="C239" i="7"/>
  <c r="C231" i="7"/>
  <c r="C223" i="7"/>
  <c r="C215" i="7"/>
  <c r="C207" i="7"/>
  <c r="C199" i="7"/>
  <c r="C191" i="7"/>
  <c r="C183" i="7"/>
  <c r="C175" i="7"/>
  <c r="C167" i="7"/>
  <c r="C159" i="7"/>
  <c r="C151" i="7"/>
  <c r="C143" i="7"/>
  <c r="C135" i="7"/>
  <c r="C127" i="7"/>
  <c r="C119" i="7"/>
  <c r="C111" i="7"/>
  <c r="C103" i="7"/>
  <c r="C95" i="7"/>
  <c r="C87" i="7"/>
  <c r="C79" i="7"/>
  <c r="C71" i="7"/>
  <c r="C63" i="7"/>
  <c r="C55" i="7"/>
  <c r="C47" i="7"/>
  <c r="C39" i="7"/>
  <c r="C31" i="7"/>
  <c r="C23" i="7"/>
  <c r="C15" i="7"/>
  <c r="C7" i="7"/>
  <c r="D249" i="7"/>
  <c r="E246" i="7"/>
  <c r="F243" i="7"/>
  <c r="D241" i="7"/>
  <c r="E238" i="7"/>
  <c r="F235" i="7"/>
  <c r="D233" i="7"/>
  <c r="E230" i="7"/>
  <c r="F227" i="7"/>
  <c r="D225" i="7"/>
  <c r="C224" i="7"/>
  <c r="C184" i="7"/>
  <c r="C144" i="7"/>
  <c r="C120" i="7"/>
  <c r="C96" i="7"/>
  <c r="C32" i="7"/>
  <c r="D246" i="7"/>
  <c r="D238" i="7"/>
  <c r="D230" i="7"/>
  <c r="D222" i="7"/>
  <c r="F216" i="7"/>
  <c r="F208" i="7"/>
  <c r="E203" i="7"/>
  <c r="D198" i="7"/>
  <c r="F192" i="7"/>
  <c r="D190" i="7"/>
  <c r="F184" i="7"/>
  <c r="E179" i="7"/>
  <c r="E171" i="7"/>
  <c r="F168" i="7"/>
  <c r="D166" i="7"/>
  <c r="C248" i="7"/>
  <c r="C200" i="7"/>
  <c r="C160" i="7"/>
  <c r="C72" i="7"/>
  <c r="C48" i="7"/>
  <c r="F248" i="7"/>
  <c r="F240" i="7"/>
  <c r="F232" i="7"/>
  <c r="E227" i="7"/>
  <c r="E219" i="7"/>
  <c r="E211" i="7"/>
  <c r="D206" i="7"/>
  <c r="F200" i="7"/>
  <c r="E195" i="7"/>
  <c r="E187" i="7"/>
  <c r="D182" i="7"/>
  <c r="F176" i="7"/>
  <c r="D174" i="7"/>
  <c r="C245" i="7"/>
  <c r="C237" i="7"/>
  <c r="C229" i="7"/>
  <c r="C221" i="7"/>
  <c r="C213" i="7"/>
  <c r="C205" i="7"/>
  <c r="C197" i="7"/>
  <c r="C189" i="7"/>
  <c r="C181" i="7"/>
  <c r="C173" i="7"/>
  <c r="C165" i="7"/>
  <c r="C157" i="7"/>
  <c r="C149" i="7"/>
  <c r="C141" i="7"/>
  <c r="C133" i="7"/>
  <c r="C125" i="7"/>
  <c r="C117" i="7"/>
  <c r="C109" i="7"/>
  <c r="C101" i="7"/>
  <c r="C93" i="7"/>
  <c r="C85" i="7"/>
  <c r="C77" i="7"/>
  <c r="C69" i="7"/>
  <c r="C61" i="7"/>
  <c r="C53" i="7"/>
  <c r="C45" i="7"/>
  <c r="C37" i="7"/>
  <c r="C29" i="7"/>
  <c r="C21" i="7"/>
  <c r="C13" i="7"/>
  <c r="C5" i="7"/>
  <c r="J11" i="9" s="1"/>
  <c r="C11" i="9" s="1"/>
  <c r="E248" i="7"/>
  <c r="F245" i="7"/>
  <c r="D243" i="7"/>
  <c r="E240" i="7"/>
  <c r="F237" i="7"/>
  <c r="D235" i="7"/>
  <c r="E232" i="7"/>
  <c r="F229" i="7"/>
  <c r="D227" i="7"/>
  <c r="C216" i="7"/>
  <c r="C176" i="7"/>
  <c r="C136" i="7"/>
  <c r="C112" i="7"/>
  <c r="C88" i="7"/>
  <c r="C64" i="7"/>
  <c r="C24" i="7"/>
  <c r="C148" i="7"/>
  <c r="C140" i="7"/>
  <c r="C132" i="7"/>
  <c r="C124" i="7"/>
  <c r="C116" i="7"/>
  <c r="C108" i="7"/>
  <c r="C100" i="7"/>
  <c r="C92" i="7"/>
  <c r="C84" i="7"/>
  <c r="C76" i="7"/>
  <c r="C68" i="7"/>
  <c r="C60" i="7"/>
  <c r="C52" i="7"/>
  <c r="C44" i="7"/>
  <c r="C36" i="7"/>
  <c r="C28" i="7"/>
  <c r="C20" i="7"/>
  <c r="C12" i="7"/>
  <c r="C4" i="7"/>
  <c r="H114" i="11" s="1"/>
  <c r="F250" i="7"/>
  <c r="D248" i="7"/>
  <c r="E245" i="7"/>
  <c r="F242" i="7"/>
  <c r="D240" i="7"/>
  <c r="C208" i="7"/>
  <c r="C168" i="7"/>
  <c r="C128" i="7"/>
  <c r="C56" i="7"/>
  <c r="C16" i="7"/>
  <c r="E243" i="7"/>
  <c r="E235" i="7"/>
  <c r="F224" i="7"/>
  <c r="D214" i="7"/>
  <c r="F116" i="11"/>
  <c r="E114" i="11"/>
  <c r="C243" i="7"/>
  <c r="C235" i="7"/>
  <c r="C227" i="7"/>
  <c r="C219" i="7"/>
  <c r="C211" i="7"/>
  <c r="C203" i="7"/>
  <c r="C195" i="7"/>
  <c r="C187" i="7"/>
  <c r="C179" i="7"/>
  <c r="C171" i="7"/>
  <c r="C163" i="7"/>
  <c r="C155" i="7"/>
  <c r="E250" i="7"/>
  <c r="F247" i="7"/>
  <c r="D245" i="7"/>
  <c r="E242" i="7"/>
  <c r="F239" i="7"/>
  <c r="D237" i="7"/>
  <c r="E234" i="7"/>
  <c r="F231" i="7"/>
  <c r="C240" i="7"/>
  <c r="K12" i="9"/>
  <c r="D12" i="9" s="1"/>
  <c r="E222" i="7"/>
  <c r="F219" i="7"/>
  <c r="D217" i="7"/>
  <c r="E214" i="7"/>
  <c r="F211" i="7"/>
  <c r="D209" i="7"/>
  <c r="E206" i="7"/>
  <c r="F203" i="7"/>
  <c r="D201" i="7"/>
  <c r="E198" i="7"/>
  <c r="F195" i="7"/>
  <c r="D193" i="7"/>
  <c r="E190" i="7"/>
  <c r="F187" i="7"/>
  <c r="D185" i="7"/>
  <c r="E182" i="7"/>
  <c r="F179" i="7"/>
  <c r="D177" i="7"/>
  <c r="E174" i="7"/>
  <c r="F171" i="7"/>
  <c r="D169" i="7"/>
  <c r="E166" i="7"/>
  <c r="F163" i="7"/>
  <c r="D161" i="7"/>
  <c r="E158" i="7"/>
  <c r="F155" i="7"/>
  <c r="D153" i="7"/>
  <c r="E150" i="7"/>
  <c r="F147" i="7"/>
  <c r="D145" i="7"/>
  <c r="E142" i="7"/>
  <c r="F139" i="7"/>
  <c r="D137" i="7"/>
  <c r="E134" i="7"/>
  <c r="F131" i="7"/>
  <c r="D129" i="7"/>
  <c r="E126" i="7"/>
  <c r="F123" i="7"/>
  <c r="D121" i="7"/>
  <c r="E118" i="7"/>
  <c r="F115" i="7"/>
  <c r="D113" i="7"/>
  <c r="E110" i="7"/>
  <c r="F107" i="7"/>
  <c r="D105" i="7"/>
  <c r="E102" i="7"/>
  <c r="F99" i="7"/>
  <c r="D97" i="7"/>
  <c r="E94" i="7"/>
  <c r="F91" i="7"/>
  <c r="D89" i="7"/>
  <c r="E86" i="7"/>
  <c r="F83" i="7"/>
  <c r="D81" i="7"/>
  <c r="E78" i="7"/>
  <c r="F75" i="7"/>
  <c r="D73" i="7"/>
  <c r="E70" i="7"/>
  <c r="F67" i="7"/>
  <c r="D65" i="7"/>
  <c r="E62" i="7"/>
  <c r="F59" i="7"/>
  <c r="D57" i="7"/>
  <c r="E54" i="7"/>
  <c r="F51" i="7"/>
  <c r="D49" i="7"/>
  <c r="E46" i="7"/>
  <c r="F43" i="7"/>
  <c r="D41" i="7"/>
  <c r="E38" i="7"/>
  <c r="F11" i="7"/>
  <c r="D9" i="7"/>
  <c r="E6" i="7"/>
  <c r="E224" i="7"/>
  <c r="F221" i="7"/>
  <c r="D219" i="7"/>
  <c r="E216" i="7"/>
  <c r="F213" i="7"/>
  <c r="D211" i="7"/>
  <c r="E208" i="7"/>
  <c r="F205" i="7"/>
  <c r="D203" i="7"/>
  <c r="E200" i="7"/>
  <c r="F197" i="7"/>
  <c r="D195" i="7"/>
  <c r="E192" i="7"/>
  <c r="F189" i="7"/>
  <c r="D187" i="7"/>
  <c r="E184" i="7"/>
  <c r="F181" i="7"/>
  <c r="D179" i="7"/>
  <c r="E176" i="7"/>
  <c r="F173" i="7"/>
  <c r="D171" i="7"/>
  <c r="E168" i="7"/>
  <c r="F165" i="7"/>
  <c r="D163" i="7"/>
  <c r="E160" i="7"/>
  <c r="F157" i="7"/>
  <c r="D155" i="7"/>
  <c r="E152" i="7"/>
  <c r="F149" i="7"/>
  <c r="D147" i="7"/>
  <c r="E144" i="7"/>
  <c r="F141" i="7"/>
  <c r="D139" i="7"/>
  <c r="E136" i="7"/>
  <c r="F133" i="7"/>
  <c r="D131" i="7"/>
  <c r="E128" i="7"/>
  <c r="F125" i="7"/>
  <c r="D123" i="7"/>
  <c r="E120" i="7"/>
  <c r="F117" i="7"/>
  <c r="D115" i="7"/>
  <c r="E112" i="7"/>
  <c r="F109" i="7"/>
  <c r="D107" i="7"/>
  <c r="E104" i="7"/>
  <c r="F101" i="7"/>
  <c r="D99" i="7"/>
  <c r="E96" i="7"/>
  <c r="F93" i="7"/>
  <c r="D91" i="7"/>
  <c r="E88" i="7"/>
  <c r="F85" i="7"/>
  <c r="D83" i="7"/>
  <c r="E80" i="7"/>
  <c r="F77" i="7"/>
  <c r="D75" i="7"/>
  <c r="E72" i="7"/>
  <c r="F69" i="7"/>
  <c r="D67" i="7"/>
  <c r="E64" i="7"/>
  <c r="F61" i="7"/>
  <c r="D59" i="7"/>
  <c r="E56" i="7"/>
  <c r="F53" i="7"/>
  <c r="D51" i="7"/>
  <c r="E48" i="7"/>
  <c r="F45" i="7"/>
  <c r="D43" i="7"/>
  <c r="E40" i="7"/>
  <c r="F37" i="7"/>
  <c r="D35" i="7"/>
  <c r="E32" i="7"/>
  <c r="F29" i="7"/>
  <c r="D27" i="7"/>
  <c r="E24" i="7"/>
  <c r="F21" i="7"/>
  <c r="D19" i="7"/>
  <c r="E16" i="7"/>
  <c r="F13" i="7"/>
  <c r="D11" i="7"/>
  <c r="E8" i="7"/>
  <c r="F5" i="7"/>
  <c r="G117" i="11" s="1"/>
  <c r="D3" i="7"/>
  <c r="L10" i="9" s="1"/>
  <c r="E10" i="9" s="1"/>
  <c r="E237" i="7"/>
  <c r="F234" i="7"/>
  <c r="D232" i="7"/>
  <c r="E229" i="7"/>
  <c r="F226" i="7"/>
  <c r="D224" i="7"/>
  <c r="E221" i="7"/>
  <c r="F218" i="7"/>
  <c r="D216" i="7"/>
  <c r="E213" i="7"/>
  <c r="F210" i="7"/>
  <c r="D208" i="7"/>
  <c r="E205" i="7"/>
  <c r="F202" i="7"/>
  <c r="D200" i="7"/>
  <c r="E197" i="7"/>
  <c r="F194" i="7"/>
  <c r="D192" i="7"/>
  <c r="E189" i="7"/>
  <c r="F186" i="7"/>
  <c r="D184" i="7"/>
  <c r="E181" i="7"/>
  <c r="F178" i="7"/>
  <c r="D176" i="7"/>
  <c r="E173" i="7"/>
  <c r="F170" i="7"/>
  <c r="D168" i="7"/>
  <c r="E165" i="7"/>
  <c r="F162" i="7"/>
  <c r="D160" i="7"/>
  <c r="E157" i="7"/>
  <c r="F154" i="7"/>
  <c r="D152" i="7"/>
  <c r="E149" i="7"/>
  <c r="F146" i="7"/>
  <c r="D144" i="7"/>
  <c r="E141" i="7"/>
  <c r="F138" i="7"/>
  <c r="D136" i="7"/>
  <c r="E133" i="7"/>
  <c r="F130" i="7"/>
  <c r="D128" i="7"/>
  <c r="E125" i="7"/>
  <c r="F122" i="7"/>
  <c r="D120" i="7"/>
  <c r="E117" i="7"/>
  <c r="F114" i="7"/>
  <c r="D112" i="7"/>
  <c r="E109" i="7"/>
  <c r="F106" i="7"/>
  <c r="D104" i="7"/>
  <c r="E101" i="7"/>
  <c r="F98" i="7"/>
  <c r="D96" i="7"/>
  <c r="E93" i="7"/>
  <c r="F90" i="7"/>
  <c r="D88" i="7"/>
  <c r="E85" i="7"/>
  <c r="F82" i="7"/>
  <c r="D80" i="7"/>
  <c r="E77" i="7"/>
  <c r="F74" i="7"/>
  <c r="D72" i="7"/>
  <c r="E69" i="7"/>
  <c r="F66" i="7"/>
  <c r="D64" i="7"/>
  <c r="E61" i="7"/>
  <c r="F58" i="7"/>
  <c r="D56" i="7"/>
  <c r="E53" i="7"/>
  <c r="F50" i="7"/>
  <c r="D48" i="7"/>
  <c r="E45" i="7"/>
  <c r="F42" i="7"/>
  <c r="D40" i="7"/>
  <c r="E37" i="7"/>
  <c r="F34" i="7"/>
  <c r="D32" i="7"/>
  <c r="E29" i="7"/>
  <c r="F26" i="7"/>
  <c r="D24" i="7"/>
  <c r="E21" i="7"/>
  <c r="F18" i="7"/>
  <c r="D16" i="7"/>
  <c r="E13" i="7"/>
  <c r="L8" i="9" s="1"/>
  <c r="E8" i="9" s="1"/>
  <c r="F10" i="7"/>
  <c r="D8" i="7"/>
  <c r="D2" i="9" s="1"/>
  <c r="E5" i="7"/>
  <c r="E116" i="11" s="1"/>
  <c r="B2" i="9"/>
  <c r="B3" i="9"/>
  <c r="B2" i="8"/>
  <c r="B3" i="8"/>
  <c r="B5" i="8"/>
  <c r="B4" i="8"/>
  <c r="D229" i="7"/>
  <c r="E226" i="7"/>
  <c r="F223" i="7"/>
  <c r="D221" i="7"/>
  <c r="E218" i="7"/>
  <c r="F215" i="7"/>
  <c r="D213" i="7"/>
  <c r="E210" i="7"/>
  <c r="F207" i="7"/>
  <c r="D205" i="7"/>
  <c r="E202" i="7"/>
  <c r="F199" i="7"/>
  <c r="D197" i="7"/>
  <c r="E194" i="7"/>
  <c r="F191" i="7"/>
  <c r="D189" i="7"/>
  <c r="E186" i="7"/>
  <c r="F183" i="7"/>
  <c r="D181" i="7"/>
  <c r="E178" i="7"/>
  <c r="F175" i="7"/>
  <c r="D173" i="7"/>
  <c r="E170" i="7"/>
  <c r="F167" i="7"/>
  <c r="D165" i="7"/>
  <c r="E162" i="7"/>
  <c r="F159" i="7"/>
  <c r="D157" i="7"/>
  <c r="E154" i="7"/>
  <c r="F151" i="7"/>
  <c r="D149" i="7"/>
  <c r="E146" i="7"/>
  <c r="F143" i="7"/>
  <c r="D141" i="7"/>
  <c r="E138" i="7"/>
  <c r="F135" i="7"/>
  <c r="D133" i="7"/>
  <c r="E130" i="7"/>
  <c r="F127" i="7"/>
  <c r="D125" i="7"/>
  <c r="E122" i="7"/>
  <c r="F119" i="7"/>
  <c r="D117" i="7"/>
  <c r="E114" i="7"/>
  <c r="F111" i="7"/>
  <c r="D109" i="7"/>
  <c r="E106" i="7"/>
  <c r="F103" i="7"/>
  <c r="D101" i="7"/>
  <c r="E98" i="7"/>
  <c r="F95" i="7"/>
  <c r="D93" i="7"/>
  <c r="E90" i="7"/>
  <c r="F87" i="7"/>
  <c r="D85" i="7"/>
  <c r="E82" i="7"/>
  <c r="F79" i="7"/>
  <c r="D77" i="7"/>
  <c r="E74" i="7"/>
  <c r="F71" i="7"/>
  <c r="D69" i="7"/>
  <c r="E66" i="7"/>
  <c r="F63" i="7"/>
  <c r="D61" i="7"/>
  <c r="E58" i="7"/>
  <c r="F55" i="7"/>
  <c r="D53" i="7"/>
  <c r="E50" i="7"/>
  <c r="F47" i="7"/>
  <c r="D45" i="7"/>
  <c r="E42" i="7"/>
  <c r="F39" i="7"/>
  <c r="D37" i="7"/>
  <c r="E34" i="7"/>
  <c r="F31" i="7"/>
  <c r="D29" i="7"/>
  <c r="E26" i="7"/>
  <c r="F23" i="7"/>
  <c r="D21" i="7"/>
  <c r="E18" i="7"/>
  <c r="F15" i="7"/>
  <c r="D13" i="7"/>
  <c r="E10" i="7"/>
  <c r="F7" i="7"/>
  <c r="D5" i="7"/>
  <c r="D26" i="7"/>
  <c r="E23" i="7"/>
  <c r="F20" i="7"/>
  <c r="D18" i="7"/>
  <c r="E15" i="7"/>
  <c r="F12" i="7"/>
  <c r="F4" i="7"/>
  <c r="I117" i="11" s="1"/>
  <c r="I113" i="11" l="1"/>
  <c r="E2" i="8"/>
  <c r="L9" i="9"/>
  <c r="E9" i="9" s="1"/>
  <c r="E115" i="11"/>
  <c r="G113" i="11"/>
  <c r="C2" i="9"/>
  <c r="B24" i="9" s="1"/>
  <c r="F113" i="11"/>
  <c r="F5" i="8"/>
  <c r="M11" i="9"/>
  <c r="F11" i="9" s="1"/>
  <c r="I115" i="11"/>
  <c r="E5" i="8"/>
  <c r="L12" i="9"/>
  <c r="E12" i="9" s="1"/>
  <c r="D3" i="8"/>
  <c r="F2" i="9"/>
  <c r="F24" i="9" s="1"/>
  <c r="I116" i="11"/>
  <c r="D3" i="9"/>
  <c r="G115" i="11"/>
  <c r="C2" i="8"/>
  <c r="J8" i="9"/>
  <c r="C8" i="9" s="1"/>
  <c r="F115" i="11"/>
  <c r="E117" i="11"/>
  <c r="M12" i="9"/>
  <c r="F12" i="9" s="1"/>
  <c r="I11" i="9"/>
  <c r="B11" i="9" s="1"/>
  <c r="H113" i="11"/>
  <c r="I10" i="9"/>
  <c r="B10" i="9" s="1"/>
  <c r="K10" i="9"/>
  <c r="D10" i="9" s="1"/>
  <c r="G114" i="11"/>
  <c r="C5" i="8"/>
  <c r="J9" i="9"/>
  <c r="C9" i="9" s="1"/>
  <c r="F114" i="11"/>
  <c r="F3" i="8"/>
  <c r="M10" i="9"/>
  <c r="F10" i="9" s="1"/>
  <c r="E3" i="9"/>
  <c r="H117" i="11"/>
  <c r="M9" i="9"/>
  <c r="F9" i="9" s="1"/>
  <c r="E3" i="8"/>
  <c r="D2" i="8"/>
  <c r="K8" i="9"/>
  <c r="D8" i="9" s="1"/>
  <c r="G116" i="11"/>
  <c r="C3" i="8"/>
  <c r="J12" i="9"/>
  <c r="C12" i="9" s="1"/>
  <c r="I12" i="9"/>
  <c r="B12" i="9" s="1"/>
  <c r="M8" i="9"/>
  <c r="F8" i="9" s="1"/>
  <c r="E2" i="9"/>
  <c r="H115" i="11"/>
  <c r="F117" i="11"/>
  <c r="F4" i="8"/>
  <c r="C24" i="9"/>
  <c r="D24" i="9"/>
  <c r="D4" i="8"/>
  <c r="K9" i="9"/>
  <c r="D9" i="9" s="1"/>
  <c r="C4" i="8"/>
  <c r="J10" i="9"/>
  <c r="C10" i="9" s="1"/>
  <c r="F2" i="8"/>
  <c r="I114" i="11"/>
  <c r="E4" i="8"/>
  <c r="L11" i="9"/>
  <c r="E11" i="9" s="1"/>
  <c r="H116" i="11"/>
  <c r="C3" i="9"/>
  <c r="D5" i="8"/>
  <c r="K11" i="9"/>
  <c r="D11" i="9" s="1"/>
  <c r="I9" i="9"/>
  <c r="B9" i="9" s="1"/>
  <c r="F3" i="9"/>
  <c r="B111" i="11" l="1" a="1"/>
  <c r="B111" i="11" s="1"/>
  <c r="B112" i="11" s="1"/>
  <c r="B113" i="11" s="1"/>
  <c r="B123" i="11" a="1"/>
  <c r="E24" i="9"/>
  <c r="D25" i="9" a="1"/>
  <c r="D25" i="9" s="1"/>
  <c r="I19" i="9" s="1"/>
  <c r="B25" i="9" a="1"/>
  <c r="B25" i="9" s="1"/>
  <c r="I17" i="9" s="1"/>
  <c r="E25" i="9" a="1"/>
  <c r="E25" i="9" s="1"/>
  <c r="I20" i="9" s="1"/>
  <c r="C25" i="9" a="1"/>
  <c r="C25" i="9" s="1"/>
  <c r="I18" i="9" s="1"/>
  <c r="F25" i="9" a="1"/>
  <c r="F25" i="9" s="1"/>
  <c r="I21" i="9" s="1"/>
  <c r="B124" i="11" l="1"/>
  <c r="C124" i="11" s="1"/>
  <c r="D124" i="11" s="1"/>
  <c r="E124" i="11" s="1"/>
  <c r="B125" i="11"/>
  <c r="C125" i="11" s="1"/>
  <c r="D125" i="11" s="1"/>
  <c r="E125" i="11" s="1"/>
  <c r="B123" i="11"/>
  <c r="C123" i="11" s="1"/>
  <c r="D123" i="11" s="1"/>
  <c r="B126" i="11"/>
  <c r="C126" i="11" s="1"/>
  <c r="D126" i="11" s="1"/>
  <c r="E126" i="11" s="1"/>
  <c r="B127" i="11"/>
  <c r="C127" i="11" s="1"/>
  <c r="D127" i="11" s="1"/>
  <c r="E127" i="11" s="1"/>
  <c r="E123" i="11" l="1"/>
  <c r="D128" i="11"/>
  <c r="E128" i="11" l="1"/>
  <c r="F123" i="11"/>
  <c r="F126" i="11" l="1"/>
  <c r="F125" i="11"/>
  <c r="F127" i="11"/>
  <c r="F124" i="11"/>
</calcChain>
</file>

<file path=xl/sharedStrings.xml><?xml version="1.0" encoding="utf-8"?>
<sst xmlns="http://schemas.openxmlformats.org/spreadsheetml/2006/main" count="292" uniqueCount="97">
  <si>
    <t>Date</t>
  </si>
  <si>
    <t>Open</t>
  </si>
  <si>
    <t>High</t>
  </si>
  <si>
    <t>Low</t>
  </si>
  <si>
    <t>Close</t>
  </si>
  <si>
    <t>Adj Close</t>
  </si>
  <si>
    <t>Volume</t>
  </si>
  <si>
    <t>NFLX_AdjClose</t>
  </si>
  <si>
    <t>V_AdjClose</t>
  </si>
  <si>
    <t>XOM_AdjClose</t>
  </si>
  <si>
    <t>PFE_AdjClose</t>
  </si>
  <si>
    <t>PG_AdjClose</t>
  </si>
  <si>
    <t>NFLX_Return</t>
  </si>
  <si>
    <t>V_Return</t>
  </si>
  <si>
    <t>XOM_Return</t>
  </si>
  <si>
    <t>PFE_Return</t>
  </si>
  <si>
    <t>PG_Return</t>
  </si>
  <si>
    <t>Stock</t>
  </si>
  <si>
    <t>Mean Daily Return</t>
  </si>
  <si>
    <t>Annual Expected Return</t>
  </si>
  <si>
    <t>NFLX</t>
  </si>
  <si>
    <t>V</t>
  </si>
  <si>
    <t>XOM</t>
  </si>
  <si>
    <t>PFE</t>
  </si>
  <si>
    <t>PG</t>
  </si>
  <si>
    <t>Annual Volatility</t>
  </si>
  <si>
    <t>Daily Volatility</t>
  </si>
  <si>
    <t>Correlation Matrix</t>
  </si>
  <si>
    <t>Total Weight</t>
  </si>
  <si>
    <t>Portfolio expected return</t>
  </si>
  <si>
    <t>Portfolio Weight 1</t>
  </si>
  <si>
    <t>Portfolio Weight 2</t>
  </si>
  <si>
    <t>Portfolio Weight 3</t>
  </si>
  <si>
    <t>Portfolio Weight 4</t>
  </si>
  <si>
    <t>Portfolio Weight 5</t>
  </si>
  <si>
    <t>Portfolio variance</t>
  </si>
  <si>
    <t>Portfolio volatility (risk)</t>
  </si>
  <si>
    <t>Target Return (%)</t>
  </si>
  <si>
    <t>Decision Variables</t>
  </si>
  <si>
    <t>Covariance Matrix (Daily)</t>
  </si>
  <si>
    <t>Covariance Matrix (Annual)</t>
  </si>
  <si>
    <t>Portfolio</t>
  </si>
  <si>
    <t>Target Return (Rp)</t>
  </si>
  <si>
    <t>Portfolio Volatility (σp)</t>
  </si>
  <si>
    <t>Risk-free rate (Rf)</t>
  </si>
  <si>
    <t>Sharpe Ratio</t>
  </si>
  <si>
    <t>Tangency Portfolio</t>
  </si>
  <si>
    <t>Capital Market Line</t>
  </si>
  <si>
    <t>S&amp;P 500_AdjClose</t>
  </si>
  <si>
    <t>S&amp;P 500_Return</t>
  </si>
  <si>
    <t>PART A: BETA USING LINEAR REGRESSION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</si>
  <si>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</si>
  <si>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</si>
  <si>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</si>
  <si>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</si>
  <si>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</si>
  <si>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</si>
  <si>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</si>
  <si>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</si>
  <si>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</si>
  <si>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</si>
  <si>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</si>
  <si>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</si>
  <si>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</si>
  <si>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</si>
  <si>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</si>
  <si>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</si>
  <si>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</si>
  <si>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</si>
  <si>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</si>
  <si>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</si>
  <si>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</si>
  <si>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</si>
  <si>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</si>
  <si>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SUMMARY OUTPUT FOR NFLX_Return Vs S&amp;P500_Return</t>
  </si>
  <si>
    <t>SUMMARY OUTPUT FOR V_Return Vs S&amp;P500_Return</t>
  </si>
  <si>
    <t>SUMMARY OUTPUT FOR XOM_Return Vs S&amp;P500_Return</t>
  </si>
  <si>
    <t>SUMMARY OUTPUT FOR PFE_Return Vs S&amp;P500_Return</t>
  </si>
  <si>
    <t>SUMMARY OUTPUT FOR PG_Return Vs S&amp;P500_Return</t>
  </si>
  <si>
    <t>PART B: PORTFOLIO VALUE AT RISK (5%)</t>
  </si>
  <si>
    <t xml:space="preserve">Target Return </t>
  </si>
  <si>
    <t>Portfolio Daily Variance (w′Σw)</t>
  </si>
  <si>
    <t>z</t>
  </si>
  <si>
    <t>Portfolio Daily Volatility</t>
  </si>
  <si>
    <t>1-day 5% VaR</t>
  </si>
  <si>
    <t>Part C — “How much each asset contributes to VaR” (VaR Contributions)</t>
  </si>
  <si>
    <t>Σw</t>
  </si>
  <si>
    <t>Marginal Contribution (MCi)</t>
  </si>
  <si>
    <t>Component Contribution to σp (CCi)</t>
  </si>
  <si>
    <t>i</t>
  </si>
  <si>
    <t>ii</t>
  </si>
  <si>
    <t>iii</t>
  </si>
  <si>
    <t>iv</t>
  </si>
  <si>
    <t>v</t>
  </si>
  <si>
    <t>Asset</t>
  </si>
  <si>
    <t>VaR contribution per asset (VaRi)</t>
  </si>
  <si>
    <t>% contribution to VaR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</si>
</sst>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5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2" borderId="0" applyNumberFormat="0" applyBorder="0" applyAlignment="0" applyProtection="0"/>
  </cellStyleXfs>
  <cellXfs count="32">
    <xf numFmtId="0" fontId="0" fillId="0" borderId="0" xfId="0"/>
    <xf numFmtId="15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/>
    <xf numFmtId="0" fontId="1" fillId="0" borderId="1" xfId="0" applyFont="1" applyBorder="1" applyAlignment="1">
      <alignment horizontal="left" vertical="top"/>
    </xf>
    <xf numFmtId="0" fontId="1" fillId="0" borderId="0" xfId="0" applyFont="1"/>
    <xf numFmtId="0" fontId="0" fillId="0" borderId="2" xfId="0" applyBorder="1"/>
    <xf numFmtId="0" fontId="2" fillId="0" borderId="3" xfId="0" applyFont="1" applyBorder="1" applyAlignment="1">
      <alignment horizontal="center"/>
    </xf>
    <xf numFmtId="0" fontId="1" fillId="0" borderId="0" xfId="0" applyFont="1" applyAlignment="1">
      <alignment horizontal="left" vertical="top"/>
    </xf>
    <xf numFmtId="0" fontId="1" fillId="0" borderId="1" xfId="0" applyFont="1" applyBorder="1"/>
    <xf numFmtId="0" fontId="0" fillId="0" borderId="1" xfId="0" applyBorder="1" applyAlignment="1">
      <alignment vertical="center" wrapText="1"/>
    </xf>
    <xf numFmtId="4" fontId="0" fillId="0" borderId="0" xfId="0" applyNumberFormat="1" applyAlignment="1">
      <alignment vertical="center" wrapText="1"/>
    </xf>
    <xf numFmtId="0" fontId="2" fillId="0" borderId="3" xfId="0" applyFont="1" applyBorder="1" applyAlignment="1">
      <alignment horizontal="centerContinuous"/>
    </xf>
    <xf numFmtId="9" fontId="0" fillId="0" borderId="1" xfId="0" applyNumberFormat="1" applyBorder="1"/>
    <xf numFmtId="3" fontId="0" fillId="0" borderId="0" xfId="0" applyNumberFormat="1"/>
    <xf numFmtId="0" fontId="0" fillId="0" borderId="1" xfId="0" applyBorder="1" applyAlignment="1">
      <alignment horizontal="right"/>
    </xf>
    <xf numFmtId="0" fontId="1" fillId="0" borderId="7" xfId="0" applyFont="1" applyBorder="1" applyAlignment="1">
      <alignment horizontal="center" vertical="center"/>
    </xf>
    <xf numFmtId="0" fontId="0" fillId="0" borderId="7" xfId="0" applyBorder="1"/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1" xfId="1" applyFont="1" applyBorder="1" applyAlignment="1">
      <alignment horizontal="center"/>
    </xf>
  </cellXfs>
  <cellStyles count="2">
    <cellStyle name="40% - Accent1" xfId="1" builtinId="3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600" b="1" i="0" u="none" strike="noStrike" cap="all" normalizeH="0" baseline="0"/>
              <a:t>Efficient Frontier of the Five-Asset Portfolio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'Task (II) Result'!$I$16</c:f>
              <c:strCache>
                <c:ptCount val="1"/>
                <c:pt idx="0">
                  <c:v>Portfolio volatility (risk)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'Task (II) Result'!$H$17:$H$21</c:f>
              <c:numCache>
                <c:formatCode>General</c:formatCode>
                <c:ptCount val="5"/>
                <c:pt idx="0">
                  <c:v>0.08</c:v>
                </c:pt>
                <c:pt idx="1">
                  <c:v>0.1</c:v>
                </c:pt>
                <c:pt idx="2">
                  <c:v>0.12</c:v>
                </c:pt>
                <c:pt idx="3">
                  <c:v>0.15</c:v>
                </c:pt>
                <c:pt idx="4">
                  <c:v>0.18</c:v>
                </c:pt>
              </c:numCache>
            </c:numRef>
          </c:xVal>
          <c:yVal>
            <c:numRef>
              <c:f>'Task (II) Result'!$I$17:$I$21</c:f>
              <c:numCache>
                <c:formatCode>General</c:formatCode>
                <c:ptCount val="5"/>
                <c:pt idx="0">
                  <c:v>0.15072346899814962</c:v>
                </c:pt>
                <c:pt idx="1">
                  <c:v>0.15574227278031735</c:v>
                </c:pt>
                <c:pt idx="2">
                  <c:v>0.16495857319200213</c:v>
                </c:pt>
                <c:pt idx="3">
                  <c:v>0.18018567107415309</c:v>
                </c:pt>
                <c:pt idx="4">
                  <c:v>0.18419302712113983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2A1-4AB8-970A-3CD4545D84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5067936"/>
        <c:axId val="315073424"/>
      </c:scatterChart>
      <c:valAx>
        <c:axId val="3150679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900" b="1" i="0" u="none" strike="noStrike" cap="all" baseline="0"/>
                  <a:t>Portfolio Risk (</a:t>
                </a:r>
                <a:r>
                  <a:rPr lang="el-GR" sz="900" b="1" i="0" u="none" strike="noStrike" cap="all" baseline="0"/>
                  <a:t>σ</a:t>
                </a:r>
                <a:r>
                  <a:rPr lang="en-IN" sz="900" b="1" i="0" u="none" strike="noStrike" cap="all" baseline="0"/>
                  <a:t>p)</a:t>
                </a:r>
                <a:endParaRPr lang="en-IN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5073424"/>
        <c:crosses val="autoZero"/>
        <c:crossBetween val="midCat"/>
      </c:valAx>
      <c:valAx>
        <c:axId val="315073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900" b="0" i="0" u="none" strike="noStrike" cap="all" baseline="0"/>
                  <a:t>Expected / Target Return</a:t>
                </a:r>
                <a:endParaRPr lang="en-IN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50679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27</xdr:row>
      <xdr:rowOff>14287</xdr:rowOff>
    </xdr:from>
    <xdr:to>
      <xdr:col>5</xdr:col>
      <xdr:colOff>628650</xdr:colOff>
      <xdr:row>41</xdr:row>
      <xdr:rowOff>90487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1"/>
  <sheetViews>
    <sheetView topLeftCell="A229" workbookViewId="0">
      <selection activeCell="F2" sqref="F2:F251"/>
    </sheetView>
  </sheetViews>
  <sheetFormatPr defaultRowHeight="14.4" x14ac:dyDescent="0.3"/>
  <cols>
    <col min="1" max="1" width="12.109375" customWidth="1"/>
    <col min="6" max="6" width="11.5546875" customWidth="1"/>
    <col min="7" max="7" width="13.88671875" customWidth="1"/>
  </cols>
  <sheetData>
    <row r="1" spans="1:7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7" x14ac:dyDescent="0.3">
      <c r="A2" s="1">
        <v>46031</v>
      </c>
      <c r="B2" s="2">
        <v>90.03</v>
      </c>
      <c r="C2" s="2">
        <v>90.05</v>
      </c>
      <c r="D2" s="2">
        <v>88.32</v>
      </c>
      <c r="E2" s="2">
        <v>89.46</v>
      </c>
      <c r="F2" s="2">
        <v>89.46</v>
      </c>
      <c r="G2" s="3">
        <v>55504000</v>
      </c>
    </row>
    <row r="3" spans="1:7" x14ac:dyDescent="0.3">
      <c r="A3" s="1">
        <v>46030</v>
      </c>
      <c r="B3" s="2">
        <v>90.45</v>
      </c>
      <c r="C3" s="2">
        <v>91.25</v>
      </c>
      <c r="D3" s="2">
        <v>89.58</v>
      </c>
      <c r="E3" s="2">
        <v>90.53</v>
      </c>
      <c r="F3" s="2">
        <v>90.53</v>
      </c>
      <c r="G3" s="3">
        <v>40068700</v>
      </c>
    </row>
    <row r="4" spans="1:7" x14ac:dyDescent="0.3">
      <c r="A4" s="1">
        <v>46029</v>
      </c>
      <c r="B4" s="2">
        <v>91.56</v>
      </c>
      <c r="C4" s="2">
        <v>92.42</v>
      </c>
      <c r="D4" s="2">
        <v>90.06</v>
      </c>
      <c r="E4" s="2">
        <v>90.73</v>
      </c>
      <c r="F4" s="2">
        <v>90.73</v>
      </c>
      <c r="G4" s="3">
        <v>36525700</v>
      </c>
    </row>
    <row r="5" spans="1:7" x14ac:dyDescent="0.3">
      <c r="A5" s="1">
        <v>46028</v>
      </c>
      <c r="B5" s="2">
        <v>91.54</v>
      </c>
      <c r="C5" s="2">
        <v>91.64</v>
      </c>
      <c r="D5" s="2">
        <v>89.74</v>
      </c>
      <c r="E5" s="2">
        <v>90.65</v>
      </c>
      <c r="F5" s="2">
        <v>90.65</v>
      </c>
      <c r="G5" s="3">
        <v>43331000</v>
      </c>
    </row>
    <row r="6" spans="1:7" x14ac:dyDescent="0.3">
      <c r="A6" s="1">
        <v>46027</v>
      </c>
      <c r="B6" s="2">
        <v>90.92</v>
      </c>
      <c r="C6" s="2">
        <v>92.63</v>
      </c>
      <c r="D6" s="2">
        <v>90.84</v>
      </c>
      <c r="E6" s="2">
        <v>91.46</v>
      </c>
      <c r="F6" s="2">
        <v>91.46</v>
      </c>
      <c r="G6" s="3">
        <v>39183300</v>
      </c>
    </row>
    <row r="7" spans="1:7" x14ac:dyDescent="0.3">
      <c r="A7" s="1">
        <v>46024</v>
      </c>
      <c r="B7" s="2">
        <v>94.13</v>
      </c>
      <c r="C7" s="2">
        <v>94.13</v>
      </c>
      <c r="D7" s="2">
        <v>90.81</v>
      </c>
      <c r="E7" s="2">
        <v>90.99</v>
      </c>
      <c r="F7" s="2">
        <v>90.99</v>
      </c>
      <c r="G7" s="3">
        <v>41155400</v>
      </c>
    </row>
    <row r="8" spans="1:7" x14ac:dyDescent="0.3">
      <c r="A8" s="1">
        <v>46022</v>
      </c>
      <c r="B8" s="2">
        <v>93.6</v>
      </c>
      <c r="C8" s="2">
        <v>94.31</v>
      </c>
      <c r="D8" s="2">
        <v>93.2</v>
      </c>
      <c r="E8" s="2">
        <v>93.76</v>
      </c>
      <c r="F8" s="2">
        <v>93.76</v>
      </c>
      <c r="G8" s="3">
        <v>23495200</v>
      </c>
    </row>
    <row r="9" spans="1:7" x14ac:dyDescent="0.3">
      <c r="A9" s="1">
        <v>46021</v>
      </c>
      <c r="B9" s="2">
        <v>93.52</v>
      </c>
      <c r="C9" s="2">
        <v>93.99</v>
      </c>
      <c r="D9" s="2">
        <v>93.34</v>
      </c>
      <c r="E9" s="2">
        <v>93.78</v>
      </c>
      <c r="F9" s="2">
        <v>93.78</v>
      </c>
      <c r="G9" s="3">
        <v>23422000</v>
      </c>
    </row>
    <row r="10" spans="1:7" x14ac:dyDescent="0.3">
      <c r="A10" s="1">
        <v>46020</v>
      </c>
      <c r="B10" s="2">
        <v>93.99</v>
      </c>
      <c r="C10" s="2">
        <v>94.97</v>
      </c>
      <c r="D10" s="2">
        <v>93.63</v>
      </c>
      <c r="E10" s="2">
        <v>94.15</v>
      </c>
      <c r="F10" s="2">
        <v>94.15</v>
      </c>
      <c r="G10" s="3">
        <v>24493700</v>
      </c>
    </row>
    <row r="11" spans="1:7" x14ac:dyDescent="0.3">
      <c r="A11" s="1">
        <v>46017</v>
      </c>
      <c r="B11" s="2">
        <v>93.48</v>
      </c>
      <c r="C11" s="2">
        <v>94.69</v>
      </c>
      <c r="D11" s="2">
        <v>93.27</v>
      </c>
      <c r="E11" s="2">
        <v>94.47</v>
      </c>
      <c r="F11" s="2">
        <v>94.47</v>
      </c>
      <c r="G11" s="3">
        <v>22068300</v>
      </c>
    </row>
    <row r="12" spans="1:7" x14ac:dyDescent="0.3">
      <c r="A12" s="1">
        <v>46015</v>
      </c>
      <c r="B12" s="2">
        <v>93.11</v>
      </c>
      <c r="C12" s="2">
        <v>93.68</v>
      </c>
      <c r="D12" s="2">
        <v>92.67</v>
      </c>
      <c r="E12" s="2">
        <v>93.64</v>
      </c>
      <c r="F12" s="2">
        <v>93.64</v>
      </c>
      <c r="G12" s="3">
        <v>12427900</v>
      </c>
    </row>
    <row r="13" spans="1:7" x14ac:dyDescent="0.3">
      <c r="A13" s="1">
        <v>46014</v>
      </c>
      <c r="B13" s="2">
        <v>93.4</v>
      </c>
      <c r="C13" s="2">
        <v>93.81</v>
      </c>
      <c r="D13" s="2">
        <v>91.33</v>
      </c>
      <c r="E13" s="2">
        <v>93.5</v>
      </c>
      <c r="F13" s="2">
        <v>93.5</v>
      </c>
      <c r="G13" s="3">
        <v>25896200</v>
      </c>
    </row>
    <row r="14" spans="1:7" x14ac:dyDescent="0.3">
      <c r="A14" s="1">
        <v>46013</v>
      </c>
      <c r="B14" s="2">
        <v>94.71</v>
      </c>
      <c r="C14" s="2">
        <v>94.71</v>
      </c>
      <c r="D14" s="2">
        <v>92.91</v>
      </c>
      <c r="E14" s="2">
        <v>93.23</v>
      </c>
      <c r="F14" s="2">
        <v>93.23</v>
      </c>
      <c r="G14" s="3">
        <v>39484800</v>
      </c>
    </row>
    <row r="15" spans="1:7" x14ac:dyDescent="0.3">
      <c r="A15" s="1">
        <v>46010</v>
      </c>
      <c r="B15" s="2">
        <v>93.57</v>
      </c>
      <c r="C15" s="2">
        <v>95.54</v>
      </c>
      <c r="D15" s="2">
        <v>93.45</v>
      </c>
      <c r="E15" s="2">
        <v>94.39</v>
      </c>
      <c r="F15" s="2">
        <v>94.39</v>
      </c>
      <c r="G15" s="3">
        <v>78990200</v>
      </c>
    </row>
    <row r="16" spans="1:7" x14ac:dyDescent="0.3">
      <c r="A16" s="1">
        <v>46009</v>
      </c>
      <c r="B16" s="2">
        <v>95.02</v>
      </c>
      <c r="C16" s="2">
        <v>95.81</v>
      </c>
      <c r="D16" s="2">
        <v>93.59</v>
      </c>
      <c r="E16" s="2">
        <v>94</v>
      </c>
      <c r="F16" s="2">
        <v>94</v>
      </c>
      <c r="G16" s="3">
        <v>37244700</v>
      </c>
    </row>
    <row r="17" spans="1:7" x14ac:dyDescent="0.3">
      <c r="A17" s="1">
        <v>46008</v>
      </c>
      <c r="B17" s="2">
        <v>95.98</v>
      </c>
      <c r="C17" s="2">
        <v>97.33</v>
      </c>
      <c r="D17" s="2">
        <v>94.46</v>
      </c>
      <c r="E17" s="2">
        <v>94.79</v>
      </c>
      <c r="F17" s="2">
        <v>94.79</v>
      </c>
      <c r="G17" s="3">
        <v>50472800</v>
      </c>
    </row>
    <row r="18" spans="1:7" x14ac:dyDescent="0.3">
      <c r="A18" s="1">
        <v>46007</v>
      </c>
      <c r="B18" s="2">
        <v>93.88</v>
      </c>
      <c r="C18" s="2">
        <v>94.93</v>
      </c>
      <c r="D18" s="2">
        <v>93.32</v>
      </c>
      <c r="E18" s="2">
        <v>94.57</v>
      </c>
      <c r="F18" s="2">
        <v>94.57</v>
      </c>
      <c r="G18" s="3">
        <v>34265000</v>
      </c>
    </row>
    <row r="19" spans="1:7" x14ac:dyDescent="0.3">
      <c r="A19" s="1">
        <v>46006</v>
      </c>
      <c r="B19" s="2">
        <v>96.02</v>
      </c>
      <c r="C19" s="2">
        <v>96.37</v>
      </c>
      <c r="D19" s="2">
        <v>93.53</v>
      </c>
      <c r="E19" s="2">
        <v>93.77</v>
      </c>
      <c r="F19" s="2">
        <v>93.77</v>
      </c>
      <c r="G19" s="3">
        <v>40016500</v>
      </c>
    </row>
    <row r="20" spans="1:7" x14ac:dyDescent="0.3">
      <c r="A20" s="1">
        <v>46003</v>
      </c>
      <c r="B20" s="2">
        <v>95.5</v>
      </c>
      <c r="C20" s="2">
        <v>96.92</v>
      </c>
      <c r="D20" s="2">
        <v>94.65</v>
      </c>
      <c r="E20" s="2">
        <v>95.19</v>
      </c>
      <c r="F20" s="2">
        <v>95.19</v>
      </c>
      <c r="G20" s="3">
        <v>49323100</v>
      </c>
    </row>
    <row r="21" spans="1:7" x14ac:dyDescent="0.3">
      <c r="A21" s="1">
        <v>46002</v>
      </c>
      <c r="B21" s="2">
        <v>93.9</v>
      </c>
      <c r="C21" s="2">
        <v>94.82</v>
      </c>
      <c r="D21" s="2">
        <v>92.76</v>
      </c>
      <c r="E21" s="2">
        <v>94.09</v>
      </c>
      <c r="F21" s="2">
        <v>94.09</v>
      </c>
      <c r="G21" s="3">
        <v>43949000</v>
      </c>
    </row>
    <row r="22" spans="1:7" x14ac:dyDescent="0.3">
      <c r="A22" s="1">
        <v>46001</v>
      </c>
      <c r="B22" s="2">
        <v>96.74</v>
      </c>
      <c r="C22" s="2">
        <v>96.97</v>
      </c>
      <c r="D22" s="2">
        <v>92.35</v>
      </c>
      <c r="E22" s="2">
        <v>92.71</v>
      </c>
      <c r="F22" s="2">
        <v>92.71</v>
      </c>
      <c r="G22" s="3">
        <v>74129300</v>
      </c>
    </row>
    <row r="23" spans="1:7" x14ac:dyDescent="0.3">
      <c r="A23" s="1">
        <v>46000</v>
      </c>
      <c r="B23" s="2">
        <v>97.03</v>
      </c>
      <c r="C23" s="2">
        <v>97.24</v>
      </c>
      <c r="D23" s="2">
        <v>95.45</v>
      </c>
      <c r="E23" s="2">
        <v>96.71</v>
      </c>
      <c r="F23" s="2">
        <v>96.71</v>
      </c>
      <c r="G23" s="3">
        <v>51745600</v>
      </c>
    </row>
    <row r="24" spans="1:7" x14ac:dyDescent="0.3">
      <c r="A24" s="1">
        <v>45999</v>
      </c>
      <c r="B24" s="2">
        <v>99.87</v>
      </c>
      <c r="C24" s="2">
        <v>99.89</v>
      </c>
      <c r="D24" s="2">
        <v>95.3</v>
      </c>
      <c r="E24" s="2">
        <v>96.79</v>
      </c>
      <c r="F24" s="2">
        <v>96.79</v>
      </c>
      <c r="G24" s="3">
        <v>100906300</v>
      </c>
    </row>
    <row r="25" spans="1:7" x14ac:dyDescent="0.3">
      <c r="A25" s="1">
        <v>45996</v>
      </c>
      <c r="B25" s="2">
        <v>98.78</v>
      </c>
      <c r="C25" s="2">
        <v>104.79</v>
      </c>
      <c r="D25" s="2">
        <v>97.74</v>
      </c>
      <c r="E25" s="2">
        <v>100.24</v>
      </c>
      <c r="F25" s="2">
        <v>100.24</v>
      </c>
      <c r="G25" s="3">
        <v>133363600</v>
      </c>
    </row>
    <row r="26" spans="1:7" x14ac:dyDescent="0.3">
      <c r="A26" s="1">
        <v>45995</v>
      </c>
      <c r="B26" s="2">
        <v>103.57</v>
      </c>
      <c r="C26" s="2">
        <v>103.8</v>
      </c>
      <c r="D26" s="2">
        <v>101.77</v>
      </c>
      <c r="E26" s="2">
        <v>103.22</v>
      </c>
      <c r="F26" s="2">
        <v>103.22</v>
      </c>
      <c r="G26" s="3">
        <v>51779100</v>
      </c>
    </row>
    <row r="27" spans="1:7" x14ac:dyDescent="0.3">
      <c r="A27" s="1">
        <v>45994</v>
      </c>
      <c r="B27" s="2">
        <v>106.59</v>
      </c>
      <c r="C27" s="2">
        <v>106.87</v>
      </c>
      <c r="D27" s="2">
        <v>102.03</v>
      </c>
      <c r="E27" s="2">
        <v>103.96</v>
      </c>
      <c r="F27" s="2">
        <v>103.96</v>
      </c>
      <c r="G27" s="3">
        <v>53593400</v>
      </c>
    </row>
    <row r="28" spans="1:7" x14ac:dyDescent="0.3">
      <c r="A28" s="1">
        <v>45993</v>
      </c>
      <c r="B28" s="2">
        <v>109.21</v>
      </c>
      <c r="C28" s="2">
        <v>109.73</v>
      </c>
      <c r="D28" s="2">
        <v>107.52</v>
      </c>
      <c r="E28" s="2">
        <v>109.35</v>
      </c>
      <c r="F28" s="2">
        <v>109.35</v>
      </c>
      <c r="G28" s="3">
        <v>25763000</v>
      </c>
    </row>
    <row r="29" spans="1:7" x14ac:dyDescent="0.3">
      <c r="A29" s="1">
        <v>45992</v>
      </c>
      <c r="B29" s="2">
        <v>106.51</v>
      </c>
      <c r="C29" s="2">
        <v>109.34</v>
      </c>
      <c r="D29" s="2">
        <v>106.31</v>
      </c>
      <c r="E29" s="2">
        <v>109.13</v>
      </c>
      <c r="F29" s="2">
        <v>109.13</v>
      </c>
      <c r="G29" s="3">
        <v>24873400</v>
      </c>
    </row>
    <row r="30" spans="1:7" x14ac:dyDescent="0.3">
      <c r="A30" s="1">
        <v>45989</v>
      </c>
      <c r="B30" s="2">
        <v>106.44</v>
      </c>
      <c r="C30" s="2">
        <v>107.94</v>
      </c>
      <c r="D30" s="2">
        <v>106.24</v>
      </c>
      <c r="E30" s="2">
        <v>107.58</v>
      </c>
      <c r="F30" s="2">
        <v>107.58</v>
      </c>
      <c r="G30" s="3">
        <v>15021600</v>
      </c>
    </row>
    <row r="31" spans="1:7" x14ac:dyDescent="0.3">
      <c r="A31" s="1">
        <v>45987</v>
      </c>
      <c r="B31" s="2">
        <v>105.74</v>
      </c>
      <c r="C31" s="2">
        <v>106.95</v>
      </c>
      <c r="D31" s="2">
        <v>105.22</v>
      </c>
      <c r="E31" s="2">
        <v>106.14</v>
      </c>
      <c r="F31" s="2">
        <v>106.14</v>
      </c>
      <c r="G31" s="3">
        <v>27951000</v>
      </c>
    </row>
    <row r="32" spans="1:7" x14ac:dyDescent="0.3">
      <c r="A32" s="1">
        <v>45986</v>
      </c>
      <c r="B32" s="2">
        <v>106.12</v>
      </c>
      <c r="C32" s="2">
        <v>106.3</v>
      </c>
      <c r="D32" s="2">
        <v>103.82</v>
      </c>
      <c r="E32" s="2">
        <v>104.4</v>
      </c>
      <c r="F32" s="2">
        <v>104.4</v>
      </c>
      <c r="G32" s="3">
        <v>35122600</v>
      </c>
    </row>
    <row r="33" spans="1:7" x14ac:dyDescent="0.3">
      <c r="A33" s="1">
        <v>45985</v>
      </c>
      <c r="B33" s="2">
        <v>104.25</v>
      </c>
      <c r="C33" s="2">
        <v>108.04</v>
      </c>
      <c r="D33" s="2">
        <v>103.32</v>
      </c>
      <c r="E33" s="2">
        <v>106.97</v>
      </c>
      <c r="F33" s="2">
        <v>106.97</v>
      </c>
      <c r="G33" s="3">
        <v>62918300</v>
      </c>
    </row>
    <row r="34" spans="1:7" x14ac:dyDescent="0.3">
      <c r="A34" s="1">
        <v>45982</v>
      </c>
      <c r="B34" s="2">
        <v>105.13</v>
      </c>
      <c r="C34" s="2">
        <v>106.53</v>
      </c>
      <c r="D34" s="2">
        <v>103.81</v>
      </c>
      <c r="E34" s="2">
        <v>104.31</v>
      </c>
      <c r="F34" s="2">
        <v>104.31</v>
      </c>
      <c r="G34" s="3">
        <v>41232700</v>
      </c>
    </row>
    <row r="35" spans="1:7" x14ac:dyDescent="0.3">
      <c r="A35" s="1">
        <v>45981</v>
      </c>
      <c r="B35" s="2">
        <v>111</v>
      </c>
      <c r="C35" s="2">
        <v>111.1</v>
      </c>
      <c r="D35" s="2">
        <v>105.39</v>
      </c>
      <c r="E35" s="2">
        <v>105.67</v>
      </c>
      <c r="F35" s="2">
        <v>105.67</v>
      </c>
      <c r="G35" s="3">
        <v>36918500</v>
      </c>
    </row>
    <row r="36" spans="1:7" x14ac:dyDescent="0.3">
      <c r="A36" s="1">
        <v>45980</v>
      </c>
      <c r="B36" s="2">
        <v>113</v>
      </c>
      <c r="C36" s="2">
        <v>113.34</v>
      </c>
      <c r="D36" s="2">
        <v>108.61</v>
      </c>
      <c r="E36" s="2">
        <v>110</v>
      </c>
      <c r="F36" s="2">
        <v>110</v>
      </c>
      <c r="G36" s="3">
        <v>31868100</v>
      </c>
    </row>
    <row r="37" spans="1:7" x14ac:dyDescent="0.3">
      <c r="A37" s="1">
        <v>45979</v>
      </c>
      <c r="B37" s="2">
        <v>110.29</v>
      </c>
      <c r="C37" s="2">
        <v>115.25</v>
      </c>
      <c r="D37" s="2">
        <v>109.2</v>
      </c>
      <c r="E37" s="2">
        <v>114.09</v>
      </c>
      <c r="F37" s="2">
        <v>114.09</v>
      </c>
      <c r="G37" s="3">
        <v>43440600</v>
      </c>
    </row>
    <row r="38" spans="1:7" x14ac:dyDescent="0.3">
      <c r="A38" s="1">
        <v>45978</v>
      </c>
      <c r="B38" s="2">
        <v>110.75</v>
      </c>
      <c r="C38" s="2">
        <v>111.85</v>
      </c>
      <c r="D38" s="2">
        <v>109.55</v>
      </c>
      <c r="E38" s="2">
        <v>110.29</v>
      </c>
      <c r="F38" s="2">
        <v>110.29</v>
      </c>
      <c r="G38" s="3">
        <v>26082700</v>
      </c>
    </row>
    <row r="39" spans="1:7" x14ac:dyDescent="0.3">
      <c r="A39" s="1">
        <v>45975</v>
      </c>
      <c r="B39" s="2">
        <v>114.27</v>
      </c>
      <c r="C39" s="2">
        <v>114.27</v>
      </c>
      <c r="D39" s="2">
        <v>110.72</v>
      </c>
      <c r="E39" s="2">
        <v>111.22</v>
      </c>
      <c r="F39" s="2">
        <v>111.22</v>
      </c>
      <c r="G39" s="3">
        <v>47607000</v>
      </c>
    </row>
    <row r="40" spans="1:7" x14ac:dyDescent="0.3">
      <c r="A40" s="1">
        <v>45974</v>
      </c>
      <c r="B40" s="2">
        <v>115.85</v>
      </c>
      <c r="C40" s="2">
        <v>116.73</v>
      </c>
      <c r="D40" s="2">
        <v>114.57</v>
      </c>
      <c r="E40" s="2">
        <v>115.42</v>
      </c>
      <c r="F40" s="2">
        <v>115.42</v>
      </c>
      <c r="G40" s="3">
        <v>40144000</v>
      </c>
    </row>
    <row r="41" spans="1:7" x14ac:dyDescent="0.3">
      <c r="A41" s="1">
        <v>45973</v>
      </c>
      <c r="B41" s="2">
        <v>113.82</v>
      </c>
      <c r="C41" s="2">
        <v>116.43</v>
      </c>
      <c r="D41" s="2">
        <v>112.83</v>
      </c>
      <c r="E41" s="2">
        <v>115.75</v>
      </c>
      <c r="F41" s="2">
        <v>115.75</v>
      </c>
      <c r="G41" s="3">
        <v>39221000</v>
      </c>
    </row>
    <row r="42" spans="1:7" x14ac:dyDescent="0.3">
      <c r="A42" s="1">
        <v>45972</v>
      </c>
      <c r="B42" s="2">
        <v>111.76</v>
      </c>
      <c r="C42" s="2">
        <v>113.92</v>
      </c>
      <c r="D42" s="2">
        <v>111.28</v>
      </c>
      <c r="E42" s="2">
        <v>113.64</v>
      </c>
      <c r="F42" s="2">
        <v>113.64</v>
      </c>
      <c r="G42" s="3">
        <v>27996000</v>
      </c>
    </row>
    <row r="43" spans="1:7" x14ac:dyDescent="0.3">
      <c r="A43" s="1">
        <v>45971</v>
      </c>
      <c r="B43" s="2">
        <v>110.67</v>
      </c>
      <c r="C43" s="2">
        <v>112.82</v>
      </c>
      <c r="D43" s="2">
        <v>110.4</v>
      </c>
      <c r="E43" s="2">
        <v>112.01</v>
      </c>
      <c r="F43" s="2">
        <v>112.01</v>
      </c>
      <c r="G43" s="3">
        <v>36929000</v>
      </c>
    </row>
    <row r="44" spans="1:7" x14ac:dyDescent="0.3">
      <c r="A44" s="1">
        <v>45968</v>
      </c>
      <c r="B44" s="2">
        <v>109.42</v>
      </c>
      <c r="C44" s="2">
        <v>110.82</v>
      </c>
      <c r="D44" s="2">
        <v>108.75</v>
      </c>
      <c r="E44" s="2">
        <v>110.37</v>
      </c>
      <c r="F44" s="2">
        <v>110.37</v>
      </c>
      <c r="G44" s="3">
        <v>44125000</v>
      </c>
    </row>
    <row r="45" spans="1:7" x14ac:dyDescent="0.3">
      <c r="A45" s="1">
        <v>45967</v>
      </c>
      <c r="B45" s="2">
        <v>109.46</v>
      </c>
      <c r="C45" s="2">
        <v>110.37</v>
      </c>
      <c r="D45" s="2">
        <v>108.51</v>
      </c>
      <c r="E45" s="2">
        <v>109.7</v>
      </c>
      <c r="F45" s="2">
        <v>109.7</v>
      </c>
      <c r="G45" s="3">
        <v>36532000</v>
      </c>
    </row>
    <row r="46" spans="1:7" x14ac:dyDescent="0.3">
      <c r="A46" s="1">
        <v>45966</v>
      </c>
      <c r="B46" s="2">
        <v>108.5</v>
      </c>
      <c r="C46" s="2">
        <v>110.08</v>
      </c>
      <c r="D46" s="2">
        <v>107.34</v>
      </c>
      <c r="E46" s="2">
        <v>109.85</v>
      </c>
      <c r="F46" s="2">
        <v>109.85</v>
      </c>
      <c r="G46" s="3">
        <v>35539000</v>
      </c>
    </row>
    <row r="47" spans="1:7" x14ac:dyDescent="0.3">
      <c r="A47" s="1">
        <v>45965</v>
      </c>
      <c r="B47" s="2">
        <v>110</v>
      </c>
      <c r="C47" s="2">
        <v>110.46</v>
      </c>
      <c r="D47" s="2">
        <v>108.67</v>
      </c>
      <c r="E47" s="2">
        <v>109.3</v>
      </c>
      <c r="F47" s="2">
        <v>109.3</v>
      </c>
      <c r="G47" s="3">
        <v>38718000</v>
      </c>
    </row>
    <row r="48" spans="1:7" x14ac:dyDescent="0.3">
      <c r="A48" s="1">
        <v>45964</v>
      </c>
      <c r="B48" s="2">
        <v>113.32</v>
      </c>
      <c r="C48" s="2">
        <v>113.35</v>
      </c>
      <c r="D48" s="2">
        <v>107.51</v>
      </c>
      <c r="E48" s="2">
        <v>110.01</v>
      </c>
      <c r="F48" s="2">
        <v>110.01</v>
      </c>
      <c r="G48" s="3">
        <v>58634000</v>
      </c>
    </row>
    <row r="49" spans="1:7" x14ac:dyDescent="0.3">
      <c r="A49" s="1">
        <v>45961</v>
      </c>
      <c r="B49" s="2">
        <v>110.54</v>
      </c>
      <c r="C49" s="2">
        <v>113.49</v>
      </c>
      <c r="D49" s="2">
        <v>110.2</v>
      </c>
      <c r="E49" s="2">
        <v>111.89</v>
      </c>
      <c r="F49" s="2">
        <v>111.89</v>
      </c>
      <c r="G49" s="3">
        <v>68665000</v>
      </c>
    </row>
    <row r="50" spans="1:7" x14ac:dyDescent="0.3">
      <c r="A50" s="1">
        <v>45960</v>
      </c>
      <c r="B50" s="2">
        <v>109.44</v>
      </c>
      <c r="C50" s="2">
        <v>110.62</v>
      </c>
      <c r="D50" s="2">
        <v>108.81</v>
      </c>
      <c r="E50" s="2">
        <v>108.9</v>
      </c>
      <c r="F50" s="2">
        <v>108.9</v>
      </c>
      <c r="G50" s="3">
        <v>41581000</v>
      </c>
    </row>
    <row r="51" spans="1:7" x14ac:dyDescent="0.3">
      <c r="A51" s="1">
        <v>45959</v>
      </c>
      <c r="B51" s="2">
        <v>109.98</v>
      </c>
      <c r="C51" s="2">
        <v>110.86</v>
      </c>
      <c r="D51" s="2">
        <v>109.6</v>
      </c>
      <c r="E51" s="2">
        <v>110.04</v>
      </c>
      <c r="F51" s="2">
        <v>110.04</v>
      </c>
      <c r="G51" s="3">
        <v>33995000</v>
      </c>
    </row>
    <row r="52" spans="1:7" x14ac:dyDescent="0.3">
      <c r="A52" s="1">
        <v>45958</v>
      </c>
      <c r="B52" s="2">
        <v>109.4</v>
      </c>
      <c r="C52" s="2">
        <v>111.7</v>
      </c>
      <c r="D52" s="2">
        <v>109.3</v>
      </c>
      <c r="E52" s="2">
        <v>110.25</v>
      </c>
      <c r="F52" s="2">
        <v>110.25</v>
      </c>
      <c r="G52" s="3">
        <v>40209000</v>
      </c>
    </row>
    <row r="53" spans="1:7" x14ac:dyDescent="0.3">
      <c r="A53" s="1">
        <v>45957</v>
      </c>
      <c r="B53" s="2">
        <v>110.07</v>
      </c>
      <c r="C53" s="2">
        <v>110.23</v>
      </c>
      <c r="D53" s="2">
        <v>108.73</v>
      </c>
      <c r="E53" s="2">
        <v>109.46</v>
      </c>
      <c r="F53" s="2">
        <v>109.46</v>
      </c>
      <c r="G53" s="3">
        <v>46911000</v>
      </c>
    </row>
    <row r="54" spans="1:7" x14ac:dyDescent="0.3">
      <c r="A54" s="1">
        <v>45954</v>
      </c>
      <c r="B54" s="2">
        <v>111.1</v>
      </c>
      <c r="C54" s="2">
        <v>111.45</v>
      </c>
      <c r="D54" s="2">
        <v>109.44</v>
      </c>
      <c r="E54" s="2">
        <v>109.47</v>
      </c>
      <c r="F54" s="2">
        <v>109.47</v>
      </c>
      <c r="G54" s="3">
        <v>60280000</v>
      </c>
    </row>
    <row r="55" spans="1:7" x14ac:dyDescent="0.3">
      <c r="A55" s="1">
        <v>45953</v>
      </c>
      <c r="B55" s="2">
        <v>112.69</v>
      </c>
      <c r="C55" s="2">
        <v>112.78</v>
      </c>
      <c r="D55" s="2">
        <v>109.97</v>
      </c>
      <c r="E55" s="2">
        <v>111.36</v>
      </c>
      <c r="F55" s="2">
        <v>111.36</v>
      </c>
      <c r="G55" s="3">
        <v>68497000</v>
      </c>
    </row>
    <row r="56" spans="1:7" x14ac:dyDescent="0.3">
      <c r="A56" s="1">
        <v>45952</v>
      </c>
      <c r="B56" s="2">
        <v>114.29</v>
      </c>
      <c r="C56" s="2">
        <v>115.76</v>
      </c>
      <c r="D56" s="2">
        <v>111.25</v>
      </c>
      <c r="E56" s="2">
        <v>111.64</v>
      </c>
      <c r="F56" s="2">
        <v>111.64</v>
      </c>
      <c r="G56" s="3">
        <v>147890000</v>
      </c>
    </row>
    <row r="57" spans="1:7" x14ac:dyDescent="0.3">
      <c r="A57" s="1">
        <v>45951</v>
      </c>
      <c r="B57" s="2">
        <v>124.28</v>
      </c>
      <c r="C57" s="2">
        <v>124.86</v>
      </c>
      <c r="D57" s="2">
        <v>123.18</v>
      </c>
      <c r="E57" s="2">
        <v>124.14</v>
      </c>
      <c r="F57" s="2">
        <v>124.14</v>
      </c>
      <c r="G57" s="3">
        <v>65082000</v>
      </c>
    </row>
    <row r="58" spans="1:7" x14ac:dyDescent="0.3">
      <c r="A58" s="1">
        <v>45950</v>
      </c>
      <c r="B58" s="2">
        <v>120.79</v>
      </c>
      <c r="C58" s="2">
        <v>124.78</v>
      </c>
      <c r="D58" s="2">
        <v>120.69</v>
      </c>
      <c r="E58" s="2">
        <v>123.86</v>
      </c>
      <c r="F58" s="2">
        <v>123.86</v>
      </c>
      <c r="G58" s="3">
        <v>39862000</v>
      </c>
    </row>
    <row r="59" spans="1:7" x14ac:dyDescent="0.3">
      <c r="A59" s="1">
        <v>45947</v>
      </c>
      <c r="B59" s="2">
        <v>118.36</v>
      </c>
      <c r="C59" s="2">
        <v>120.31</v>
      </c>
      <c r="D59" s="2">
        <v>117.89</v>
      </c>
      <c r="E59" s="2">
        <v>119.94</v>
      </c>
      <c r="F59" s="2">
        <v>119.94</v>
      </c>
      <c r="G59" s="3">
        <v>29571000</v>
      </c>
    </row>
    <row r="60" spans="1:7" x14ac:dyDescent="0.3">
      <c r="A60" s="1">
        <v>45946</v>
      </c>
      <c r="B60" s="2">
        <v>121.21</v>
      </c>
      <c r="C60" s="2">
        <v>121.67</v>
      </c>
      <c r="D60" s="2">
        <v>117.6</v>
      </c>
      <c r="E60" s="2">
        <v>118.36</v>
      </c>
      <c r="F60" s="2">
        <v>118.36</v>
      </c>
      <c r="G60" s="3">
        <v>28326000</v>
      </c>
    </row>
    <row r="61" spans="1:7" x14ac:dyDescent="0.3">
      <c r="A61" s="1">
        <v>45945</v>
      </c>
      <c r="B61" s="2">
        <v>121.3</v>
      </c>
      <c r="C61" s="2">
        <v>121.96</v>
      </c>
      <c r="D61" s="2">
        <v>120.16</v>
      </c>
      <c r="E61" s="2">
        <v>120.33</v>
      </c>
      <c r="F61" s="2">
        <v>120.33</v>
      </c>
      <c r="G61" s="3">
        <v>20252000</v>
      </c>
    </row>
    <row r="62" spans="1:7" x14ac:dyDescent="0.3">
      <c r="A62" s="1">
        <v>45944</v>
      </c>
      <c r="B62" s="2">
        <v>121.47</v>
      </c>
      <c r="C62" s="2">
        <v>122.43</v>
      </c>
      <c r="D62" s="2">
        <v>120.31</v>
      </c>
      <c r="E62" s="2">
        <v>121.54</v>
      </c>
      <c r="F62" s="2">
        <v>121.54</v>
      </c>
      <c r="G62" s="3">
        <v>23624000</v>
      </c>
    </row>
    <row r="63" spans="1:7" x14ac:dyDescent="0.3">
      <c r="A63" s="1">
        <v>45943</v>
      </c>
      <c r="B63" s="2">
        <v>122.14</v>
      </c>
      <c r="C63" s="2">
        <v>123.11</v>
      </c>
      <c r="D63" s="2">
        <v>120.68</v>
      </c>
      <c r="E63" s="2">
        <v>121.9</v>
      </c>
      <c r="F63" s="2">
        <v>121.9</v>
      </c>
      <c r="G63" s="3">
        <v>24608000</v>
      </c>
    </row>
    <row r="64" spans="1:7" x14ac:dyDescent="0.3">
      <c r="A64" s="1">
        <v>45940</v>
      </c>
      <c r="B64" s="2">
        <v>122.9</v>
      </c>
      <c r="C64" s="2">
        <v>124.7</v>
      </c>
      <c r="D64" s="2">
        <v>121.91</v>
      </c>
      <c r="E64" s="2">
        <v>122.01</v>
      </c>
      <c r="F64" s="2">
        <v>122.01</v>
      </c>
      <c r="G64" s="3">
        <v>42798000</v>
      </c>
    </row>
    <row r="65" spans="1:7" x14ac:dyDescent="0.3">
      <c r="A65" s="1">
        <v>45939</v>
      </c>
      <c r="B65" s="2">
        <v>121.43</v>
      </c>
      <c r="C65" s="2">
        <v>123.75</v>
      </c>
      <c r="D65" s="2">
        <v>121.18</v>
      </c>
      <c r="E65" s="2">
        <v>123.11</v>
      </c>
      <c r="F65" s="2">
        <v>123.11</v>
      </c>
      <c r="G65" s="3">
        <v>28241000</v>
      </c>
    </row>
    <row r="66" spans="1:7" x14ac:dyDescent="0.3">
      <c r="A66" s="1">
        <v>45938</v>
      </c>
      <c r="B66" s="2">
        <v>119.71</v>
      </c>
      <c r="C66" s="2">
        <v>121.74</v>
      </c>
      <c r="D66" s="2">
        <v>119.2</v>
      </c>
      <c r="E66" s="2">
        <v>121.43</v>
      </c>
      <c r="F66" s="2">
        <v>121.43</v>
      </c>
      <c r="G66" s="3">
        <v>28514000</v>
      </c>
    </row>
    <row r="67" spans="1:7" x14ac:dyDescent="0.3">
      <c r="A67" s="1">
        <v>45937</v>
      </c>
      <c r="B67" s="2">
        <v>117.78</v>
      </c>
      <c r="C67" s="2">
        <v>120.14</v>
      </c>
      <c r="D67" s="2">
        <v>117.75</v>
      </c>
      <c r="E67" s="2">
        <v>119.11</v>
      </c>
      <c r="F67" s="2">
        <v>119.11</v>
      </c>
      <c r="G67" s="3">
        <v>33091000</v>
      </c>
    </row>
    <row r="68" spans="1:7" x14ac:dyDescent="0.3">
      <c r="A68" s="1">
        <v>45936</v>
      </c>
      <c r="B68" s="2">
        <v>116.04</v>
      </c>
      <c r="C68" s="2">
        <v>116.36</v>
      </c>
      <c r="D68" s="2">
        <v>114.54</v>
      </c>
      <c r="E68" s="2">
        <v>116.33</v>
      </c>
      <c r="F68" s="2">
        <v>116.33</v>
      </c>
      <c r="G68" s="3">
        <v>29686000</v>
      </c>
    </row>
    <row r="69" spans="1:7" x14ac:dyDescent="0.3">
      <c r="A69" s="1">
        <v>45933</v>
      </c>
      <c r="B69" s="2">
        <v>116.5</v>
      </c>
      <c r="C69" s="2">
        <v>116.8</v>
      </c>
      <c r="D69" s="2">
        <v>114.32</v>
      </c>
      <c r="E69" s="2">
        <v>115.33</v>
      </c>
      <c r="F69" s="2">
        <v>115.33</v>
      </c>
      <c r="G69" s="3">
        <v>31374000</v>
      </c>
    </row>
    <row r="70" spans="1:7" x14ac:dyDescent="0.3">
      <c r="A70" s="1">
        <v>45932</v>
      </c>
      <c r="B70" s="2">
        <v>116.15</v>
      </c>
      <c r="C70" s="2">
        <v>116.33</v>
      </c>
      <c r="D70" s="2">
        <v>113.4</v>
      </c>
      <c r="E70" s="2">
        <v>116.25</v>
      </c>
      <c r="F70" s="2">
        <v>116.25</v>
      </c>
      <c r="G70" s="3">
        <v>46855000</v>
      </c>
    </row>
    <row r="71" spans="1:7" x14ac:dyDescent="0.3">
      <c r="A71" s="1">
        <v>45931</v>
      </c>
      <c r="B71" s="2">
        <v>117.55</v>
      </c>
      <c r="C71" s="2">
        <v>117.91</v>
      </c>
      <c r="D71" s="2">
        <v>116.32</v>
      </c>
      <c r="E71" s="2">
        <v>117.09</v>
      </c>
      <c r="F71" s="2">
        <v>117.09</v>
      </c>
      <c r="G71" s="3">
        <v>41102000</v>
      </c>
    </row>
    <row r="72" spans="1:7" x14ac:dyDescent="0.3">
      <c r="A72" s="1">
        <v>45930</v>
      </c>
      <c r="B72" s="2">
        <v>120.64</v>
      </c>
      <c r="C72" s="2">
        <v>120.85</v>
      </c>
      <c r="D72" s="2">
        <v>117.8</v>
      </c>
      <c r="E72" s="2">
        <v>119.89</v>
      </c>
      <c r="F72" s="2">
        <v>119.89</v>
      </c>
      <c r="G72" s="3">
        <v>38303000</v>
      </c>
    </row>
    <row r="73" spans="1:7" x14ac:dyDescent="0.3">
      <c r="A73" s="1">
        <v>45929</v>
      </c>
      <c r="B73" s="2">
        <v>120.5</v>
      </c>
      <c r="C73" s="2">
        <v>122.45</v>
      </c>
      <c r="D73" s="2">
        <v>118.75</v>
      </c>
      <c r="E73" s="2">
        <v>120.64</v>
      </c>
      <c r="F73" s="2">
        <v>120.64</v>
      </c>
      <c r="G73" s="3">
        <v>30332000</v>
      </c>
    </row>
    <row r="74" spans="1:7" x14ac:dyDescent="0.3">
      <c r="A74" s="1">
        <v>45926</v>
      </c>
      <c r="B74" s="2">
        <v>120.54</v>
      </c>
      <c r="C74" s="2">
        <v>121.4</v>
      </c>
      <c r="D74" s="2">
        <v>120</v>
      </c>
      <c r="E74" s="2">
        <v>121.06</v>
      </c>
      <c r="F74" s="2">
        <v>121.06</v>
      </c>
      <c r="G74" s="3">
        <v>19450000</v>
      </c>
    </row>
    <row r="75" spans="1:7" x14ac:dyDescent="0.3">
      <c r="A75" s="1">
        <v>45925</v>
      </c>
      <c r="B75" s="2">
        <v>120.31</v>
      </c>
      <c r="C75" s="2">
        <v>121.68</v>
      </c>
      <c r="D75" s="2">
        <v>119.15</v>
      </c>
      <c r="E75" s="2">
        <v>120.82</v>
      </c>
      <c r="F75" s="2">
        <v>120.82</v>
      </c>
      <c r="G75" s="3">
        <v>19978000</v>
      </c>
    </row>
    <row r="76" spans="1:7" x14ac:dyDescent="0.3">
      <c r="A76" s="1">
        <v>45924</v>
      </c>
      <c r="B76" s="2">
        <v>121.86</v>
      </c>
      <c r="C76" s="2">
        <v>122.15</v>
      </c>
      <c r="D76" s="2">
        <v>119.42</v>
      </c>
      <c r="E76" s="2">
        <v>120.39</v>
      </c>
      <c r="F76" s="2">
        <v>120.39</v>
      </c>
      <c r="G76" s="3">
        <v>27731000</v>
      </c>
    </row>
    <row r="77" spans="1:7" x14ac:dyDescent="0.3">
      <c r="A77" s="1">
        <v>45923</v>
      </c>
      <c r="B77" s="2">
        <v>122.73</v>
      </c>
      <c r="C77" s="2">
        <v>122.78</v>
      </c>
      <c r="D77" s="2">
        <v>120.85</v>
      </c>
      <c r="E77" s="2">
        <v>121.85</v>
      </c>
      <c r="F77" s="2">
        <v>121.85</v>
      </c>
      <c r="G77" s="3">
        <v>24991000</v>
      </c>
    </row>
    <row r="78" spans="1:7" x14ac:dyDescent="0.3">
      <c r="A78" s="1">
        <v>45922</v>
      </c>
      <c r="B78" s="2">
        <v>122.19</v>
      </c>
      <c r="C78" s="2">
        <v>122.98</v>
      </c>
      <c r="D78" s="2">
        <v>121.42</v>
      </c>
      <c r="E78" s="2">
        <v>122.74</v>
      </c>
      <c r="F78" s="2">
        <v>122.74</v>
      </c>
      <c r="G78" s="3">
        <v>25468000</v>
      </c>
    </row>
    <row r="79" spans="1:7" x14ac:dyDescent="0.3">
      <c r="A79" s="1">
        <v>45919</v>
      </c>
      <c r="B79" s="2">
        <v>121.86</v>
      </c>
      <c r="C79" s="2">
        <v>123</v>
      </c>
      <c r="D79" s="2">
        <v>120.81</v>
      </c>
      <c r="E79" s="2">
        <v>122.7</v>
      </c>
      <c r="F79" s="2">
        <v>122.7</v>
      </c>
      <c r="G79" s="3">
        <v>49476000</v>
      </c>
    </row>
    <row r="80" spans="1:7" x14ac:dyDescent="0.3">
      <c r="A80" s="1">
        <v>45918</v>
      </c>
      <c r="B80" s="2">
        <v>122.08</v>
      </c>
      <c r="C80" s="2">
        <v>123.3</v>
      </c>
      <c r="D80" s="2">
        <v>120.55</v>
      </c>
      <c r="E80" s="2">
        <v>120.78</v>
      </c>
      <c r="F80" s="2">
        <v>120.78</v>
      </c>
      <c r="G80" s="3">
        <v>31691000</v>
      </c>
    </row>
    <row r="81" spans="1:7" x14ac:dyDescent="0.3">
      <c r="A81" s="1">
        <v>45917</v>
      </c>
      <c r="B81" s="2">
        <v>122.1</v>
      </c>
      <c r="C81" s="2">
        <v>123.39</v>
      </c>
      <c r="D81" s="2">
        <v>120.66</v>
      </c>
      <c r="E81" s="2">
        <v>122.85</v>
      </c>
      <c r="F81" s="2">
        <v>122.85</v>
      </c>
      <c r="G81" s="3">
        <v>34598000</v>
      </c>
    </row>
    <row r="82" spans="1:7" x14ac:dyDescent="0.3">
      <c r="A82" s="1">
        <v>45916</v>
      </c>
      <c r="B82" s="2">
        <v>120.56</v>
      </c>
      <c r="C82" s="2">
        <v>120.9</v>
      </c>
      <c r="D82" s="2">
        <v>119.73</v>
      </c>
      <c r="E82" s="2">
        <v>120.05</v>
      </c>
      <c r="F82" s="2">
        <v>120.05</v>
      </c>
      <c r="G82" s="3">
        <v>24047000</v>
      </c>
    </row>
    <row r="83" spans="1:7" x14ac:dyDescent="0.3">
      <c r="A83" s="1">
        <v>45915</v>
      </c>
      <c r="B83" s="2">
        <v>118.84</v>
      </c>
      <c r="C83" s="2">
        <v>120.72</v>
      </c>
      <c r="D83" s="2">
        <v>117.32</v>
      </c>
      <c r="E83" s="2">
        <v>120.23</v>
      </c>
      <c r="F83" s="2">
        <v>120.23</v>
      </c>
      <c r="G83" s="3">
        <v>29093000</v>
      </c>
    </row>
    <row r="84" spans="1:7" x14ac:dyDescent="0.3">
      <c r="A84" s="1">
        <v>45912</v>
      </c>
      <c r="B84" s="2">
        <v>120.31</v>
      </c>
      <c r="C84" s="2">
        <v>121.18</v>
      </c>
      <c r="D84" s="2">
        <v>118.24</v>
      </c>
      <c r="E84" s="2">
        <v>118.84</v>
      </c>
      <c r="F84" s="2">
        <v>118.84</v>
      </c>
      <c r="G84" s="3">
        <v>37849000</v>
      </c>
    </row>
    <row r="85" spans="1:7" x14ac:dyDescent="0.3">
      <c r="A85" s="1">
        <v>45911</v>
      </c>
      <c r="B85" s="2">
        <v>125.1</v>
      </c>
      <c r="C85" s="2">
        <v>125.35</v>
      </c>
      <c r="D85" s="2">
        <v>119.2</v>
      </c>
      <c r="E85" s="2">
        <v>120.35</v>
      </c>
      <c r="F85" s="2">
        <v>120.35</v>
      </c>
      <c r="G85" s="3">
        <v>56823000</v>
      </c>
    </row>
    <row r="86" spans="1:7" x14ac:dyDescent="0.3">
      <c r="A86" s="1">
        <v>45910</v>
      </c>
      <c r="B86" s="2">
        <v>126.4</v>
      </c>
      <c r="C86" s="2">
        <v>126.7</v>
      </c>
      <c r="D86" s="2">
        <v>124.64</v>
      </c>
      <c r="E86" s="2">
        <v>124.77</v>
      </c>
      <c r="F86" s="2">
        <v>124.77</v>
      </c>
      <c r="G86" s="3">
        <v>27010000</v>
      </c>
    </row>
    <row r="87" spans="1:7" x14ac:dyDescent="0.3">
      <c r="A87" s="1">
        <v>45909</v>
      </c>
      <c r="B87" s="2">
        <v>124.67</v>
      </c>
      <c r="C87" s="2">
        <v>126.57</v>
      </c>
      <c r="D87" s="2">
        <v>124.67</v>
      </c>
      <c r="E87" s="2">
        <v>126.32</v>
      </c>
      <c r="F87" s="2">
        <v>126.32</v>
      </c>
      <c r="G87" s="3">
        <v>22197000</v>
      </c>
    </row>
    <row r="88" spans="1:7" x14ac:dyDescent="0.3">
      <c r="A88" s="1">
        <v>45908</v>
      </c>
      <c r="B88" s="2">
        <v>124.85</v>
      </c>
      <c r="C88" s="2">
        <v>125.2</v>
      </c>
      <c r="D88" s="2">
        <v>123.2</v>
      </c>
      <c r="E88" s="2">
        <v>124.48</v>
      </c>
      <c r="F88" s="2">
        <v>124.48</v>
      </c>
      <c r="G88" s="3">
        <v>19151000</v>
      </c>
    </row>
    <row r="89" spans="1:7" x14ac:dyDescent="0.3">
      <c r="A89" s="1">
        <v>45905</v>
      </c>
      <c r="B89" s="2">
        <v>126</v>
      </c>
      <c r="C89" s="2">
        <v>126.71</v>
      </c>
      <c r="D89" s="2">
        <v>123.9</v>
      </c>
      <c r="E89" s="2">
        <v>124.38</v>
      </c>
      <c r="F89" s="2">
        <v>124.38</v>
      </c>
      <c r="G89" s="3">
        <v>23797000</v>
      </c>
    </row>
    <row r="90" spans="1:7" x14ac:dyDescent="0.3">
      <c r="A90" s="1">
        <v>45904</v>
      </c>
      <c r="B90" s="2">
        <v>122.32</v>
      </c>
      <c r="C90" s="2">
        <v>125.75</v>
      </c>
      <c r="D90" s="2">
        <v>122.31</v>
      </c>
      <c r="E90" s="2">
        <v>125.75</v>
      </c>
      <c r="F90" s="2">
        <v>125.75</v>
      </c>
      <c r="G90" s="3">
        <v>30235000</v>
      </c>
    </row>
    <row r="91" spans="1:7" x14ac:dyDescent="0.3">
      <c r="A91" s="1">
        <v>45903</v>
      </c>
      <c r="B91" s="2">
        <v>120.51</v>
      </c>
      <c r="C91" s="2">
        <v>122.7</v>
      </c>
      <c r="D91" s="2">
        <v>120.34</v>
      </c>
      <c r="E91" s="2">
        <v>122.62</v>
      </c>
      <c r="F91" s="2">
        <v>122.62</v>
      </c>
      <c r="G91" s="3">
        <v>24715000</v>
      </c>
    </row>
    <row r="92" spans="1:7" x14ac:dyDescent="0.3">
      <c r="A92" s="1">
        <v>45902</v>
      </c>
      <c r="B92" s="2">
        <v>119.7</v>
      </c>
      <c r="C92" s="2">
        <v>121.54</v>
      </c>
      <c r="D92" s="2">
        <v>118.28</v>
      </c>
      <c r="E92" s="2">
        <v>121.41</v>
      </c>
      <c r="F92" s="2">
        <v>121.41</v>
      </c>
      <c r="G92" s="3">
        <v>23033000</v>
      </c>
    </row>
    <row r="93" spans="1:7" x14ac:dyDescent="0.3">
      <c r="A93" s="1">
        <v>45898</v>
      </c>
      <c r="B93" s="2">
        <v>122.8</v>
      </c>
      <c r="C93" s="2">
        <v>122.88</v>
      </c>
      <c r="D93" s="2">
        <v>120.11</v>
      </c>
      <c r="E93" s="2">
        <v>120.82</v>
      </c>
      <c r="F93" s="2">
        <v>120.82</v>
      </c>
      <c r="G93" s="3">
        <v>32098000</v>
      </c>
    </row>
    <row r="94" spans="1:7" x14ac:dyDescent="0.3">
      <c r="A94" s="1">
        <v>45897</v>
      </c>
      <c r="B94" s="2">
        <v>122.28</v>
      </c>
      <c r="C94" s="2">
        <v>123.79</v>
      </c>
      <c r="D94" s="2">
        <v>121.43</v>
      </c>
      <c r="E94" s="2">
        <v>123.14</v>
      </c>
      <c r="F94" s="2">
        <v>123.14</v>
      </c>
      <c r="G94" s="3">
        <v>19503000</v>
      </c>
    </row>
    <row r="95" spans="1:7" x14ac:dyDescent="0.3">
      <c r="A95" s="1">
        <v>45896</v>
      </c>
      <c r="B95" s="2">
        <v>122.36</v>
      </c>
      <c r="C95" s="2">
        <v>122.92</v>
      </c>
      <c r="D95" s="2">
        <v>121.3</v>
      </c>
      <c r="E95" s="2">
        <v>122.35</v>
      </c>
      <c r="F95" s="2">
        <v>122.35</v>
      </c>
      <c r="G95" s="3">
        <v>16645000</v>
      </c>
    </row>
    <row r="96" spans="1:7" x14ac:dyDescent="0.3">
      <c r="A96" s="1">
        <v>45895</v>
      </c>
      <c r="B96" s="2">
        <v>122.02</v>
      </c>
      <c r="C96" s="2">
        <v>123.15</v>
      </c>
      <c r="D96" s="2">
        <v>121.22</v>
      </c>
      <c r="E96" s="2">
        <v>122.61</v>
      </c>
      <c r="F96" s="2">
        <v>122.61</v>
      </c>
      <c r="G96" s="3">
        <v>19857000</v>
      </c>
    </row>
    <row r="97" spans="1:7" x14ac:dyDescent="0.3">
      <c r="A97" s="1">
        <v>45894</v>
      </c>
      <c r="B97" s="2">
        <v>120.17</v>
      </c>
      <c r="C97" s="2">
        <v>123.38</v>
      </c>
      <c r="D97" s="2">
        <v>119.9</v>
      </c>
      <c r="E97" s="2">
        <v>121.81</v>
      </c>
      <c r="F97" s="2">
        <v>121.81</v>
      </c>
      <c r="G97" s="3">
        <v>28120000</v>
      </c>
    </row>
    <row r="98" spans="1:7" x14ac:dyDescent="0.3">
      <c r="A98" s="1">
        <v>45891</v>
      </c>
      <c r="B98" s="2">
        <v>120.89</v>
      </c>
      <c r="C98" s="2">
        <v>121.36</v>
      </c>
      <c r="D98" s="2">
        <v>119.82</v>
      </c>
      <c r="E98" s="2">
        <v>120.46</v>
      </c>
      <c r="F98" s="2">
        <v>120.46</v>
      </c>
      <c r="G98" s="3">
        <v>31281000</v>
      </c>
    </row>
    <row r="99" spans="1:7" x14ac:dyDescent="0.3">
      <c r="A99" s="1">
        <v>45890</v>
      </c>
      <c r="B99" s="2">
        <v>121.14</v>
      </c>
      <c r="C99" s="2">
        <v>122.14</v>
      </c>
      <c r="D99" s="2">
        <v>119.76</v>
      </c>
      <c r="E99" s="2">
        <v>120.62</v>
      </c>
      <c r="F99" s="2">
        <v>120.62</v>
      </c>
      <c r="G99" s="3">
        <v>20472000</v>
      </c>
    </row>
    <row r="100" spans="1:7" x14ac:dyDescent="0.3">
      <c r="A100" s="1">
        <v>45889</v>
      </c>
      <c r="B100" s="2">
        <v>121.8</v>
      </c>
      <c r="C100" s="2">
        <v>122.3</v>
      </c>
      <c r="D100" s="2">
        <v>119.33</v>
      </c>
      <c r="E100" s="2">
        <v>121.39</v>
      </c>
      <c r="F100" s="2">
        <v>121.39</v>
      </c>
      <c r="G100" s="3">
        <v>24344000</v>
      </c>
    </row>
    <row r="101" spans="1:7" x14ac:dyDescent="0.3">
      <c r="A101" s="1">
        <v>45888</v>
      </c>
      <c r="B101" s="2">
        <v>124.02</v>
      </c>
      <c r="C101" s="2">
        <v>124.1</v>
      </c>
      <c r="D101" s="2">
        <v>119.28</v>
      </c>
      <c r="E101" s="2">
        <v>121.42</v>
      </c>
      <c r="F101" s="2">
        <v>121.42</v>
      </c>
      <c r="G101" s="3">
        <v>37077000</v>
      </c>
    </row>
    <row r="102" spans="1:7" x14ac:dyDescent="0.3">
      <c r="A102" s="1">
        <v>45887</v>
      </c>
      <c r="B102" s="2">
        <v>123.56</v>
      </c>
      <c r="C102" s="2">
        <v>125.12</v>
      </c>
      <c r="D102" s="2">
        <v>123.54</v>
      </c>
      <c r="E102" s="2">
        <v>124.51</v>
      </c>
      <c r="F102" s="2">
        <v>124.51</v>
      </c>
      <c r="G102" s="3">
        <v>21111000</v>
      </c>
    </row>
    <row r="103" spans="1:7" x14ac:dyDescent="0.3">
      <c r="A103" s="1">
        <v>45884</v>
      </c>
      <c r="B103" s="2">
        <v>123.4</v>
      </c>
      <c r="C103" s="2">
        <v>124.69</v>
      </c>
      <c r="D103" s="2">
        <v>122.79</v>
      </c>
      <c r="E103" s="2">
        <v>123.89</v>
      </c>
      <c r="F103" s="2">
        <v>123.89</v>
      </c>
      <c r="G103" s="3">
        <v>27678000</v>
      </c>
    </row>
    <row r="104" spans="1:7" x14ac:dyDescent="0.3">
      <c r="A104" s="1">
        <v>45883</v>
      </c>
      <c r="B104" s="2">
        <v>120.99</v>
      </c>
      <c r="C104" s="2">
        <v>124.41</v>
      </c>
      <c r="D104" s="2">
        <v>120.7</v>
      </c>
      <c r="E104" s="2">
        <v>123.06</v>
      </c>
      <c r="F104" s="2">
        <v>123.06</v>
      </c>
      <c r="G104" s="3">
        <v>39047000</v>
      </c>
    </row>
    <row r="105" spans="1:7" x14ac:dyDescent="0.3">
      <c r="A105" s="1">
        <v>45882</v>
      </c>
      <c r="B105" s="2">
        <v>123.4</v>
      </c>
      <c r="C105" s="2">
        <v>123.71</v>
      </c>
      <c r="D105" s="2">
        <v>120.3</v>
      </c>
      <c r="E105" s="2">
        <v>120.44</v>
      </c>
      <c r="F105" s="2">
        <v>120.44</v>
      </c>
      <c r="G105" s="3">
        <v>27624000</v>
      </c>
    </row>
    <row r="106" spans="1:7" x14ac:dyDescent="0.3">
      <c r="A106" s="1">
        <v>45881</v>
      </c>
      <c r="B106" s="2">
        <v>122.5</v>
      </c>
      <c r="C106" s="2">
        <v>123.2</v>
      </c>
      <c r="D106" s="2">
        <v>120.65</v>
      </c>
      <c r="E106" s="2">
        <v>122.53</v>
      </c>
      <c r="F106" s="2">
        <v>122.53</v>
      </c>
      <c r="G106" s="3">
        <v>22788000</v>
      </c>
    </row>
    <row r="107" spans="1:7" x14ac:dyDescent="0.3">
      <c r="A107" s="1">
        <v>45880</v>
      </c>
      <c r="B107" s="2">
        <v>121.4</v>
      </c>
      <c r="C107" s="2">
        <v>122.31</v>
      </c>
      <c r="D107" s="2">
        <v>120.19</v>
      </c>
      <c r="E107" s="2">
        <v>121.83</v>
      </c>
      <c r="F107" s="2">
        <v>121.83</v>
      </c>
      <c r="G107" s="3">
        <v>24556000</v>
      </c>
    </row>
    <row r="108" spans="1:7" x14ac:dyDescent="0.3">
      <c r="A108" s="1">
        <v>45877</v>
      </c>
      <c r="B108" s="2">
        <v>118.32</v>
      </c>
      <c r="C108" s="2">
        <v>121.41</v>
      </c>
      <c r="D108" s="2">
        <v>118.04</v>
      </c>
      <c r="E108" s="2">
        <v>121.16</v>
      </c>
      <c r="F108" s="2">
        <v>121.16</v>
      </c>
      <c r="G108" s="3">
        <v>38167000</v>
      </c>
    </row>
    <row r="109" spans="1:7" x14ac:dyDescent="0.3">
      <c r="A109" s="1">
        <v>45876</v>
      </c>
      <c r="B109" s="2">
        <v>118.18</v>
      </c>
      <c r="C109" s="2">
        <v>119.12</v>
      </c>
      <c r="D109" s="2">
        <v>116.82</v>
      </c>
      <c r="E109" s="2">
        <v>118.04</v>
      </c>
      <c r="F109" s="2">
        <v>118.04</v>
      </c>
      <c r="G109" s="3">
        <v>26283000</v>
      </c>
    </row>
    <row r="110" spans="1:7" x14ac:dyDescent="0.3">
      <c r="A110" s="1">
        <v>45875</v>
      </c>
      <c r="B110" s="2">
        <v>115.35</v>
      </c>
      <c r="C110" s="2">
        <v>118.14</v>
      </c>
      <c r="D110" s="2">
        <v>115.19</v>
      </c>
      <c r="E110" s="2">
        <v>117.85</v>
      </c>
      <c r="F110" s="2">
        <v>117.85</v>
      </c>
      <c r="G110" s="3">
        <v>33622000</v>
      </c>
    </row>
    <row r="111" spans="1:7" x14ac:dyDescent="0.3">
      <c r="A111" s="1">
        <v>45874</v>
      </c>
      <c r="B111" s="2">
        <v>117.1</v>
      </c>
      <c r="C111" s="2">
        <v>117.17</v>
      </c>
      <c r="D111" s="2">
        <v>114.47</v>
      </c>
      <c r="E111" s="2">
        <v>114.79</v>
      </c>
      <c r="F111" s="2">
        <v>114.79</v>
      </c>
      <c r="G111" s="3">
        <v>26607000</v>
      </c>
    </row>
    <row r="112" spans="1:7" x14ac:dyDescent="0.3">
      <c r="A112" s="1">
        <v>45873</v>
      </c>
      <c r="B112" s="2">
        <v>116.76</v>
      </c>
      <c r="C112" s="2">
        <v>117.7</v>
      </c>
      <c r="D112" s="2">
        <v>116.26</v>
      </c>
      <c r="E112" s="2">
        <v>117.1</v>
      </c>
      <c r="F112" s="2">
        <v>117.1</v>
      </c>
      <c r="G112" s="3">
        <v>22447000</v>
      </c>
    </row>
    <row r="113" spans="1:7" x14ac:dyDescent="0.3">
      <c r="A113" s="1">
        <v>45870</v>
      </c>
      <c r="B113" s="2">
        <v>116.3</v>
      </c>
      <c r="C113" s="2">
        <v>117.85</v>
      </c>
      <c r="D113" s="2">
        <v>115.29</v>
      </c>
      <c r="E113" s="2">
        <v>115.86</v>
      </c>
      <c r="F113" s="2">
        <v>115.86</v>
      </c>
      <c r="G113" s="3">
        <v>38910000</v>
      </c>
    </row>
    <row r="114" spans="1:7" x14ac:dyDescent="0.3">
      <c r="A114" s="1">
        <v>45869</v>
      </c>
      <c r="B114" s="2">
        <v>118.48</v>
      </c>
      <c r="C114" s="2">
        <v>119</v>
      </c>
      <c r="D114" s="2">
        <v>115.77</v>
      </c>
      <c r="E114" s="2">
        <v>115.94</v>
      </c>
      <c r="F114" s="2">
        <v>115.94</v>
      </c>
      <c r="G114" s="3">
        <v>37129000</v>
      </c>
    </row>
    <row r="115" spans="1:7" x14ac:dyDescent="0.3">
      <c r="A115" s="1">
        <v>45868</v>
      </c>
      <c r="B115" s="2">
        <v>116.86</v>
      </c>
      <c r="C115" s="2">
        <v>118.49</v>
      </c>
      <c r="D115" s="2">
        <v>116.61</v>
      </c>
      <c r="E115" s="2">
        <v>118.42</v>
      </c>
      <c r="F115" s="2">
        <v>118.42</v>
      </c>
      <c r="G115" s="3">
        <v>29227000</v>
      </c>
    </row>
    <row r="116" spans="1:7" x14ac:dyDescent="0.3">
      <c r="A116" s="1">
        <v>45867</v>
      </c>
      <c r="B116" s="2">
        <v>117.9</v>
      </c>
      <c r="C116" s="2">
        <v>117.96</v>
      </c>
      <c r="D116" s="2">
        <v>116.33</v>
      </c>
      <c r="E116" s="2">
        <v>116.87</v>
      </c>
      <c r="F116" s="2">
        <v>116.87</v>
      </c>
      <c r="G116" s="3">
        <v>27525000</v>
      </c>
    </row>
    <row r="117" spans="1:7" x14ac:dyDescent="0.3">
      <c r="A117" s="1">
        <v>45866</v>
      </c>
      <c r="B117" s="2">
        <v>118.12</v>
      </c>
      <c r="C117" s="2">
        <v>119.78</v>
      </c>
      <c r="D117" s="2">
        <v>116.85</v>
      </c>
      <c r="E117" s="2">
        <v>117.46</v>
      </c>
      <c r="F117" s="2">
        <v>117.46</v>
      </c>
      <c r="G117" s="3">
        <v>34470000</v>
      </c>
    </row>
    <row r="118" spans="1:7" x14ac:dyDescent="0.3">
      <c r="A118" s="1">
        <v>45863</v>
      </c>
      <c r="B118" s="2">
        <v>117.84</v>
      </c>
      <c r="C118" s="2">
        <v>118.73</v>
      </c>
      <c r="D118" s="2">
        <v>117.44</v>
      </c>
      <c r="E118" s="2">
        <v>118.05</v>
      </c>
      <c r="F118" s="2">
        <v>118.05</v>
      </c>
      <c r="G118" s="3">
        <v>26293000</v>
      </c>
    </row>
    <row r="119" spans="1:7" x14ac:dyDescent="0.3">
      <c r="A119" s="1">
        <v>45862</v>
      </c>
      <c r="B119" s="2">
        <v>117.78</v>
      </c>
      <c r="C119" s="2">
        <v>118.35</v>
      </c>
      <c r="D119" s="2">
        <v>116.27</v>
      </c>
      <c r="E119" s="2">
        <v>118.08</v>
      </c>
      <c r="F119" s="2">
        <v>118.08</v>
      </c>
      <c r="G119" s="3">
        <v>38456000</v>
      </c>
    </row>
    <row r="120" spans="1:7" x14ac:dyDescent="0.3">
      <c r="A120" s="1">
        <v>45861</v>
      </c>
      <c r="B120" s="2">
        <v>118.98</v>
      </c>
      <c r="C120" s="2">
        <v>119.26</v>
      </c>
      <c r="D120" s="2">
        <v>117.36</v>
      </c>
      <c r="E120" s="2">
        <v>117.68</v>
      </c>
      <c r="F120" s="2">
        <v>117.68</v>
      </c>
      <c r="G120" s="3">
        <v>45043000</v>
      </c>
    </row>
    <row r="121" spans="1:7" x14ac:dyDescent="0.3">
      <c r="A121" s="1">
        <v>45860</v>
      </c>
      <c r="B121" s="2">
        <v>123.04</v>
      </c>
      <c r="C121" s="2">
        <v>123.24</v>
      </c>
      <c r="D121" s="2">
        <v>118.75</v>
      </c>
      <c r="E121" s="2">
        <v>119.01</v>
      </c>
      <c r="F121" s="2">
        <v>119.01</v>
      </c>
      <c r="G121" s="3">
        <v>50630000</v>
      </c>
    </row>
    <row r="122" spans="1:7" x14ac:dyDescent="0.3">
      <c r="A122" s="1">
        <v>45859</v>
      </c>
      <c r="B122" s="2">
        <v>120.6</v>
      </c>
      <c r="C122" s="2">
        <v>123.71</v>
      </c>
      <c r="D122" s="2">
        <v>119.8</v>
      </c>
      <c r="E122" s="2">
        <v>123.33</v>
      </c>
      <c r="F122" s="2">
        <v>123.33</v>
      </c>
      <c r="G122" s="3">
        <v>56276000</v>
      </c>
    </row>
    <row r="123" spans="1:7" x14ac:dyDescent="0.3">
      <c r="A123" s="1">
        <v>45856</v>
      </c>
      <c r="B123" s="2">
        <v>124.2</v>
      </c>
      <c r="C123" s="2">
        <v>124.65</v>
      </c>
      <c r="D123" s="2">
        <v>120.1</v>
      </c>
      <c r="E123" s="2">
        <v>120.92</v>
      </c>
      <c r="F123" s="2">
        <v>120.92</v>
      </c>
      <c r="G123" s="3">
        <v>106933000</v>
      </c>
    </row>
    <row r="124" spans="1:7" x14ac:dyDescent="0.3">
      <c r="A124" s="1">
        <v>45855</v>
      </c>
      <c r="B124" s="2">
        <v>125.3</v>
      </c>
      <c r="C124" s="2">
        <v>127.75</v>
      </c>
      <c r="D124" s="2">
        <v>124.48</v>
      </c>
      <c r="E124" s="2">
        <v>127.42</v>
      </c>
      <c r="F124" s="2">
        <v>127.42</v>
      </c>
      <c r="G124" s="3">
        <v>64699000</v>
      </c>
    </row>
    <row r="125" spans="1:7" x14ac:dyDescent="0.3">
      <c r="A125" s="1">
        <v>45854</v>
      </c>
      <c r="B125" s="2">
        <v>126.17</v>
      </c>
      <c r="C125" s="2">
        <v>127.1</v>
      </c>
      <c r="D125" s="2">
        <v>124.98</v>
      </c>
      <c r="E125" s="2">
        <v>125.03</v>
      </c>
      <c r="F125" s="2">
        <v>125.03</v>
      </c>
      <c r="G125" s="3">
        <v>32270000</v>
      </c>
    </row>
    <row r="126" spans="1:7" x14ac:dyDescent="0.3">
      <c r="A126" s="1">
        <v>45853</v>
      </c>
      <c r="B126" s="2">
        <v>126.2</v>
      </c>
      <c r="C126" s="2">
        <v>127.12</v>
      </c>
      <c r="D126" s="2">
        <v>124.32</v>
      </c>
      <c r="E126" s="2">
        <v>126.03</v>
      </c>
      <c r="F126" s="2">
        <v>126.03</v>
      </c>
      <c r="G126" s="3">
        <v>28017000</v>
      </c>
    </row>
    <row r="127" spans="1:7" x14ac:dyDescent="0.3">
      <c r="A127" s="1">
        <v>45852</v>
      </c>
      <c r="B127" s="2">
        <v>124.49</v>
      </c>
      <c r="C127" s="2">
        <v>127.05</v>
      </c>
      <c r="D127" s="2">
        <v>124</v>
      </c>
      <c r="E127" s="2">
        <v>126.19</v>
      </c>
      <c r="F127" s="2">
        <v>126.19</v>
      </c>
      <c r="G127" s="3">
        <v>27810000</v>
      </c>
    </row>
    <row r="128" spans="1:7" x14ac:dyDescent="0.3">
      <c r="A128" s="1">
        <v>45849</v>
      </c>
      <c r="B128" s="2">
        <v>125.98</v>
      </c>
      <c r="C128" s="2">
        <v>126.1</v>
      </c>
      <c r="D128" s="2">
        <v>123.13</v>
      </c>
      <c r="E128" s="2">
        <v>124.51</v>
      </c>
      <c r="F128" s="2">
        <v>124.51</v>
      </c>
      <c r="G128" s="3">
        <v>39572000</v>
      </c>
    </row>
    <row r="129" spans="1:7" x14ac:dyDescent="0.3">
      <c r="A129" s="1">
        <v>45848</v>
      </c>
      <c r="B129" s="2">
        <v>128.55000000000001</v>
      </c>
      <c r="C129" s="2">
        <v>128.96</v>
      </c>
      <c r="D129" s="2">
        <v>124.6</v>
      </c>
      <c r="E129" s="2">
        <v>125.06</v>
      </c>
      <c r="F129" s="2">
        <v>125.06</v>
      </c>
      <c r="G129" s="3">
        <v>42308000</v>
      </c>
    </row>
    <row r="130" spans="1:7" x14ac:dyDescent="0.3">
      <c r="A130" s="1">
        <v>45847</v>
      </c>
      <c r="B130" s="2">
        <v>127.4</v>
      </c>
      <c r="C130" s="2">
        <v>128.83000000000001</v>
      </c>
      <c r="D130" s="2">
        <v>126.62</v>
      </c>
      <c r="E130" s="2">
        <v>128.83000000000001</v>
      </c>
      <c r="F130" s="2">
        <v>128.83000000000001</v>
      </c>
      <c r="G130" s="3">
        <v>23845000</v>
      </c>
    </row>
    <row r="131" spans="1:7" x14ac:dyDescent="0.3">
      <c r="A131" s="1">
        <v>45846</v>
      </c>
      <c r="B131" s="2">
        <v>129.09</v>
      </c>
      <c r="C131" s="2">
        <v>129.32</v>
      </c>
      <c r="D131" s="2">
        <v>126</v>
      </c>
      <c r="E131" s="2">
        <v>127.53</v>
      </c>
      <c r="F131" s="2">
        <v>127.53</v>
      </c>
      <c r="G131" s="3">
        <v>32925000</v>
      </c>
    </row>
    <row r="132" spans="1:7" x14ac:dyDescent="0.3">
      <c r="A132" s="1">
        <v>45845</v>
      </c>
      <c r="B132" s="2">
        <v>129.5</v>
      </c>
      <c r="C132" s="2">
        <v>129.5</v>
      </c>
      <c r="D132" s="2">
        <v>127.6</v>
      </c>
      <c r="E132" s="2">
        <v>128.96</v>
      </c>
      <c r="F132" s="2">
        <v>128.96</v>
      </c>
      <c r="G132" s="3">
        <v>22737000</v>
      </c>
    </row>
    <row r="133" spans="1:7" x14ac:dyDescent="0.3">
      <c r="A133" s="1">
        <v>45841</v>
      </c>
      <c r="B133" s="2">
        <v>129.19999999999999</v>
      </c>
      <c r="C133" s="2">
        <v>130.22999999999999</v>
      </c>
      <c r="D133" s="2">
        <v>127.98</v>
      </c>
      <c r="E133" s="2">
        <v>129.72</v>
      </c>
      <c r="F133" s="2">
        <v>129.72</v>
      </c>
      <c r="G133" s="3">
        <v>20062000</v>
      </c>
    </row>
    <row r="134" spans="1:7" x14ac:dyDescent="0.3">
      <c r="A134" s="1">
        <v>45840</v>
      </c>
      <c r="B134" s="2">
        <v>129.69999999999999</v>
      </c>
      <c r="C134" s="2">
        <v>129.99</v>
      </c>
      <c r="D134" s="2">
        <v>127.16</v>
      </c>
      <c r="E134" s="2">
        <v>128.49</v>
      </c>
      <c r="F134" s="2">
        <v>128.49</v>
      </c>
      <c r="G134" s="3">
        <v>30488000</v>
      </c>
    </row>
    <row r="135" spans="1:7" x14ac:dyDescent="0.3">
      <c r="A135" s="1">
        <v>45839</v>
      </c>
      <c r="B135" s="2">
        <v>133.82</v>
      </c>
      <c r="C135" s="2">
        <v>133.88</v>
      </c>
      <c r="D135" s="2">
        <v>128.22</v>
      </c>
      <c r="E135" s="2">
        <v>129.36000000000001</v>
      </c>
      <c r="F135" s="2">
        <v>129.36000000000001</v>
      </c>
      <c r="G135" s="3">
        <v>49936000</v>
      </c>
    </row>
    <row r="136" spans="1:7" x14ac:dyDescent="0.3">
      <c r="A136" s="1">
        <v>45838</v>
      </c>
      <c r="B136" s="2">
        <v>133.1</v>
      </c>
      <c r="C136" s="2">
        <v>134.12</v>
      </c>
      <c r="D136" s="2">
        <v>132.12</v>
      </c>
      <c r="E136" s="2">
        <v>133.91</v>
      </c>
      <c r="F136" s="2">
        <v>133.91</v>
      </c>
      <c r="G136" s="3">
        <v>32829000</v>
      </c>
    </row>
    <row r="137" spans="1:7" x14ac:dyDescent="0.3">
      <c r="A137" s="1">
        <v>45835</v>
      </c>
      <c r="B137" s="2">
        <v>130.69</v>
      </c>
      <c r="C137" s="2">
        <v>133.13</v>
      </c>
      <c r="D137" s="2">
        <v>130.1</v>
      </c>
      <c r="E137" s="2">
        <v>132.31</v>
      </c>
      <c r="F137" s="2">
        <v>132.31</v>
      </c>
      <c r="G137" s="3">
        <v>40709000</v>
      </c>
    </row>
    <row r="138" spans="1:7" x14ac:dyDescent="0.3">
      <c r="A138" s="1">
        <v>45834</v>
      </c>
      <c r="B138" s="2">
        <v>128</v>
      </c>
      <c r="C138" s="2">
        <v>130.72999999999999</v>
      </c>
      <c r="D138" s="2">
        <v>128</v>
      </c>
      <c r="E138" s="2">
        <v>130.66999999999999</v>
      </c>
      <c r="F138" s="2">
        <v>130.66999999999999</v>
      </c>
      <c r="G138" s="3">
        <v>26059000</v>
      </c>
    </row>
    <row r="139" spans="1:7" x14ac:dyDescent="0.3">
      <c r="A139" s="1">
        <v>45833</v>
      </c>
      <c r="B139" s="2">
        <v>128.68</v>
      </c>
      <c r="C139" s="2">
        <v>129.80000000000001</v>
      </c>
      <c r="D139" s="2">
        <v>127.38</v>
      </c>
      <c r="E139" s="2">
        <v>127.53</v>
      </c>
      <c r="F139" s="2">
        <v>127.53</v>
      </c>
      <c r="G139" s="3">
        <v>21465000</v>
      </c>
    </row>
    <row r="140" spans="1:7" x14ac:dyDescent="0.3">
      <c r="A140" s="1">
        <v>45832</v>
      </c>
      <c r="B140" s="2">
        <v>126.06</v>
      </c>
      <c r="C140" s="2">
        <v>128.26</v>
      </c>
      <c r="D140" s="2">
        <v>125.5</v>
      </c>
      <c r="E140" s="2">
        <v>127.91</v>
      </c>
      <c r="F140" s="2">
        <v>127.91</v>
      </c>
      <c r="G140" s="3">
        <v>26633000</v>
      </c>
    </row>
    <row r="141" spans="1:7" x14ac:dyDescent="0.3">
      <c r="A141" s="1">
        <v>45831</v>
      </c>
      <c r="B141" s="2">
        <v>123.8</v>
      </c>
      <c r="C141" s="2">
        <v>125.48</v>
      </c>
      <c r="D141" s="2">
        <v>121.5</v>
      </c>
      <c r="E141" s="2">
        <v>125.35</v>
      </c>
      <c r="F141" s="2">
        <v>125.35</v>
      </c>
      <c r="G141" s="3">
        <v>26673000</v>
      </c>
    </row>
    <row r="142" spans="1:7" x14ac:dyDescent="0.3">
      <c r="A142" s="1">
        <v>45828</v>
      </c>
      <c r="B142" s="2">
        <v>123.44</v>
      </c>
      <c r="C142" s="2">
        <v>124.85</v>
      </c>
      <c r="D142" s="2">
        <v>122.43</v>
      </c>
      <c r="E142" s="2">
        <v>123.14</v>
      </c>
      <c r="F142" s="2">
        <v>123.14</v>
      </c>
      <c r="G142" s="3">
        <v>53482000</v>
      </c>
    </row>
    <row r="143" spans="1:7" x14ac:dyDescent="0.3">
      <c r="A143" s="1">
        <v>45826</v>
      </c>
      <c r="B143" s="2">
        <v>123</v>
      </c>
      <c r="C143" s="2">
        <v>124.2</v>
      </c>
      <c r="D143" s="2">
        <v>122.05</v>
      </c>
      <c r="E143" s="2">
        <v>122.23</v>
      </c>
      <c r="F143" s="2">
        <v>122.23</v>
      </c>
      <c r="G143" s="3">
        <v>22810000</v>
      </c>
    </row>
    <row r="144" spans="1:7" x14ac:dyDescent="0.3">
      <c r="A144" s="1">
        <v>45825</v>
      </c>
      <c r="B144" s="2">
        <v>122</v>
      </c>
      <c r="C144" s="2">
        <v>123.24</v>
      </c>
      <c r="D144" s="2">
        <v>121.61</v>
      </c>
      <c r="E144" s="2">
        <v>122.07</v>
      </c>
      <c r="F144" s="2">
        <v>122.07</v>
      </c>
      <c r="G144" s="3">
        <v>18921000</v>
      </c>
    </row>
    <row r="145" spans="1:7" x14ac:dyDescent="0.3">
      <c r="A145" s="1">
        <v>45824</v>
      </c>
      <c r="B145" s="2">
        <v>121.22</v>
      </c>
      <c r="C145" s="2">
        <v>122.63</v>
      </c>
      <c r="D145" s="2">
        <v>121.22</v>
      </c>
      <c r="E145" s="2">
        <v>122.54</v>
      </c>
      <c r="F145" s="2">
        <v>122.54</v>
      </c>
      <c r="G145" s="3">
        <v>21128000</v>
      </c>
    </row>
    <row r="146" spans="1:7" x14ac:dyDescent="0.3">
      <c r="A146" s="1">
        <v>45821</v>
      </c>
      <c r="B146" s="2">
        <v>120.66</v>
      </c>
      <c r="C146" s="2">
        <v>122.06</v>
      </c>
      <c r="D146" s="2">
        <v>120.19</v>
      </c>
      <c r="E146" s="2">
        <v>121.21</v>
      </c>
      <c r="F146" s="2">
        <v>121.21</v>
      </c>
      <c r="G146" s="3">
        <v>22103000</v>
      </c>
    </row>
    <row r="147" spans="1:7" x14ac:dyDescent="0.3">
      <c r="A147" s="1">
        <v>45820</v>
      </c>
      <c r="B147" s="2">
        <v>122.26</v>
      </c>
      <c r="C147" s="2">
        <v>123</v>
      </c>
      <c r="D147" s="2">
        <v>121.2</v>
      </c>
      <c r="E147" s="2">
        <v>121.5</v>
      </c>
      <c r="F147" s="2">
        <v>121.5</v>
      </c>
      <c r="G147" s="3">
        <v>20846000</v>
      </c>
    </row>
    <row r="148" spans="1:7" x14ac:dyDescent="0.3">
      <c r="A148" s="1">
        <v>45819</v>
      </c>
      <c r="B148" s="2">
        <v>120.26</v>
      </c>
      <c r="C148" s="2">
        <v>122.83</v>
      </c>
      <c r="D148" s="2">
        <v>119.6</v>
      </c>
      <c r="E148" s="2">
        <v>121.99</v>
      </c>
      <c r="F148" s="2">
        <v>121.99</v>
      </c>
      <c r="G148" s="3">
        <v>23823000</v>
      </c>
    </row>
    <row r="149" spans="1:7" x14ac:dyDescent="0.3">
      <c r="A149" s="1">
        <v>45818</v>
      </c>
      <c r="B149" s="2">
        <v>122.75</v>
      </c>
      <c r="C149" s="2">
        <v>122.75</v>
      </c>
      <c r="D149" s="2">
        <v>118.06</v>
      </c>
      <c r="E149" s="2">
        <v>120.36</v>
      </c>
      <c r="F149" s="2">
        <v>120.36</v>
      </c>
      <c r="G149" s="3">
        <v>44544000</v>
      </c>
    </row>
    <row r="150" spans="1:7" x14ac:dyDescent="0.3">
      <c r="A150" s="1">
        <v>45817</v>
      </c>
      <c r="B150" s="2">
        <v>123.89</v>
      </c>
      <c r="C150" s="2">
        <v>123.89</v>
      </c>
      <c r="D150" s="2">
        <v>122.16</v>
      </c>
      <c r="E150" s="2">
        <v>122.45</v>
      </c>
      <c r="F150" s="2">
        <v>122.45</v>
      </c>
      <c r="G150" s="3">
        <v>24031000</v>
      </c>
    </row>
    <row r="151" spans="1:7" x14ac:dyDescent="0.3">
      <c r="A151" s="1">
        <v>45814</v>
      </c>
      <c r="B151" s="2">
        <v>125.94</v>
      </c>
      <c r="C151" s="2">
        <v>126</v>
      </c>
      <c r="D151" s="2">
        <v>123.56</v>
      </c>
      <c r="E151" s="2">
        <v>124.15</v>
      </c>
      <c r="F151" s="2">
        <v>124.15</v>
      </c>
      <c r="G151" s="3">
        <v>25570000</v>
      </c>
    </row>
    <row r="152" spans="1:7" x14ac:dyDescent="0.3">
      <c r="A152" s="1">
        <v>45813</v>
      </c>
      <c r="B152" s="2">
        <v>124.06</v>
      </c>
      <c r="C152" s="2">
        <v>126.28</v>
      </c>
      <c r="D152" s="2">
        <v>123.73</v>
      </c>
      <c r="E152" s="2">
        <v>125.05</v>
      </c>
      <c r="F152" s="2">
        <v>125.05</v>
      </c>
      <c r="G152" s="3">
        <v>28172000</v>
      </c>
    </row>
    <row r="153" spans="1:7" x14ac:dyDescent="0.3">
      <c r="A153" s="1">
        <v>45812</v>
      </c>
      <c r="B153" s="2">
        <v>122.07</v>
      </c>
      <c r="C153" s="2">
        <v>124.26</v>
      </c>
      <c r="D153" s="2">
        <v>121.99</v>
      </c>
      <c r="E153" s="2">
        <v>123.97</v>
      </c>
      <c r="F153" s="2">
        <v>123.97</v>
      </c>
      <c r="G153" s="3">
        <v>23594000</v>
      </c>
    </row>
    <row r="154" spans="1:7" x14ac:dyDescent="0.3">
      <c r="A154" s="1">
        <v>45811</v>
      </c>
      <c r="B154" s="2">
        <v>121.99</v>
      </c>
      <c r="C154" s="2">
        <v>122.96</v>
      </c>
      <c r="D154" s="2">
        <v>121.12</v>
      </c>
      <c r="E154" s="2">
        <v>121.79</v>
      </c>
      <c r="F154" s="2">
        <v>121.79</v>
      </c>
      <c r="G154" s="3">
        <v>23638000</v>
      </c>
    </row>
    <row r="155" spans="1:7" x14ac:dyDescent="0.3">
      <c r="A155" s="1">
        <v>45810</v>
      </c>
      <c r="B155" s="2">
        <v>120.12</v>
      </c>
      <c r="C155" s="2">
        <v>121.94</v>
      </c>
      <c r="D155" s="2">
        <v>119.63</v>
      </c>
      <c r="E155" s="2">
        <v>121.9</v>
      </c>
      <c r="F155" s="2">
        <v>121.9</v>
      </c>
      <c r="G155" s="3">
        <v>22942000</v>
      </c>
    </row>
    <row r="156" spans="1:7" x14ac:dyDescent="0.3">
      <c r="A156" s="1">
        <v>45807</v>
      </c>
      <c r="B156" s="2">
        <v>119.83</v>
      </c>
      <c r="C156" s="2">
        <v>121.18</v>
      </c>
      <c r="D156" s="2">
        <v>118.09</v>
      </c>
      <c r="E156" s="2">
        <v>120.72</v>
      </c>
      <c r="F156" s="2">
        <v>120.72</v>
      </c>
      <c r="G156" s="3">
        <v>46968000</v>
      </c>
    </row>
    <row r="157" spans="1:7" x14ac:dyDescent="0.3">
      <c r="A157" s="1">
        <v>45806</v>
      </c>
      <c r="B157" s="2">
        <v>120.8</v>
      </c>
      <c r="C157" s="2">
        <v>120.9</v>
      </c>
      <c r="D157" s="2">
        <v>117.63</v>
      </c>
      <c r="E157" s="2">
        <v>118.49</v>
      </c>
      <c r="F157" s="2">
        <v>118.49</v>
      </c>
      <c r="G157" s="3">
        <v>33007000</v>
      </c>
    </row>
    <row r="158" spans="1:7" x14ac:dyDescent="0.3">
      <c r="A158" s="1">
        <v>45805</v>
      </c>
      <c r="B158" s="2">
        <v>121.03</v>
      </c>
      <c r="C158" s="2">
        <v>121.59</v>
      </c>
      <c r="D158" s="2">
        <v>120.6</v>
      </c>
      <c r="E158" s="2">
        <v>120.86</v>
      </c>
      <c r="F158" s="2">
        <v>120.86</v>
      </c>
      <c r="G158" s="3">
        <v>18559000</v>
      </c>
    </row>
    <row r="159" spans="1:7" x14ac:dyDescent="0.3">
      <c r="A159" s="1">
        <v>45804</v>
      </c>
      <c r="B159" s="2">
        <v>119.53</v>
      </c>
      <c r="C159" s="2">
        <v>121.18</v>
      </c>
      <c r="D159" s="2">
        <v>119.31</v>
      </c>
      <c r="E159" s="2">
        <v>121.16</v>
      </c>
      <c r="F159" s="2">
        <v>121.16</v>
      </c>
      <c r="G159" s="3">
        <v>29205000</v>
      </c>
    </row>
    <row r="160" spans="1:7" x14ac:dyDescent="0.3">
      <c r="A160" s="1">
        <v>45800</v>
      </c>
      <c r="B160" s="2">
        <v>118.4</v>
      </c>
      <c r="C160" s="2">
        <v>119.14</v>
      </c>
      <c r="D160" s="2">
        <v>117.94</v>
      </c>
      <c r="E160" s="2">
        <v>118.54</v>
      </c>
      <c r="F160" s="2">
        <v>118.54</v>
      </c>
      <c r="G160" s="3">
        <v>21865000</v>
      </c>
    </row>
    <row r="161" spans="1:7" x14ac:dyDescent="0.3">
      <c r="A161" s="1">
        <v>45799</v>
      </c>
      <c r="B161" s="2">
        <v>119.24</v>
      </c>
      <c r="C161" s="2">
        <v>119.88</v>
      </c>
      <c r="D161" s="2">
        <v>118.72</v>
      </c>
      <c r="E161" s="2">
        <v>118.8</v>
      </c>
      <c r="F161" s="2">
        <v>118.8</v>
      </c>
      <c r="G161" s="3">
        <v>18616000</v>
      </c>
    </row>
    <row r="162" spans="1:7" x14ac:dyDescent="0.3">
      <c r="A162" s="1">
        <v>45798</v>
      </c>
      <c r="B162" s="2">
        <v>118.65</v>
      </c>
      <c r="C162" s="2">
        <v>121.12</v>
      </c>
      <c r="D162" s="2">
        <v>118.65</v>
      </c>
      <c r="E162" s="2">
        <v>119.46</v>
      </c>
      <c r="F162" s="2">
        <v>119.46</v>
      </c>
      <c r="G162" s="3">
        <v>29766000</v>
      </c>
    </row>
    <row r="163" spans="1:7" x14ac:dyDescent="0.3">
      <c r="A163" s="1">
        <v>45797</v>
      </c>
      <c r="B163" s="2">
        <v>118.68</v>
      </c>
      <c r="C163" s="2">
        <v>119.3</v>
      </c>
      <c r="D163" s="2">
        <v>117.9</v>
      </c>
      <c r="E163" s="2">
        <v>119.2</v>
      </c>
      <c r="F163" s="2">
        <v>119.2</v>
      </c>
      <c r="G163" s="3">
        <v>21331000</v>
      </c>
    </row>
    <row r="164" spans="1:7" x14ac:dyDescent="0.3">
      <c r="A164" s="1">
        <v>45796</v>
      </c>
      <c r="B164" s="2">
        <v>117.36</v>
      </c>
      <c r="C164" s="2">
        <v>119.16</v>
      </c>
      <c r="D164" s="2">
        <v>117.17</v>
      </c>
      <c r="E164" s="2">
        <v>119.16</v>
      </c>
      <c r="F164" s="2">
        <v>119.16</v>
      </c>
      <c r="G164" s="3">
        <v>28534000</v>
      </c>
    </row>
    <row r="165" spans="1:7" x14ac:dyDescent="0.3">
      <c r="A165" s="1">
        <v>45793</v>
      </c>
      <c r="B165" s="2">
        <v>119.31</v>
      </c>
      <c r="C165" s="2">
        <v>119.65</v>
      </c>
      <c r="D165" s="2">
        <v>117.94</v>
      </c>
      <c r="E165" s="2">
        <v>119.15</v>
      </c>
      <c r="F165" s="2">
        <v>119.15</v>
      </c>
      <c r="G165" s="3">
        <v>46984000</v>
      </c>
    </row>
    <row r="166" spans="1:7" x14ac:dyDescent="0.3">
      <c r="A166" s="1">
        <v>45792</v>
      </c>
      <c r="B166" s="2">
        <v>114.77</v>
      </c>
      <c r="C166" s="2">
        <v>118.78</v>
      </c>
      <c r="D166" s="2">
        <v>114.76</v>
      </c>
      <c r="E166" s="2">
        <v>117.8</v>
      </c>
      <c r="F166" s="2">
        <v>117.8</v>
      </c>
      <c r="G166" s="3">
        <v>44640000</v>
      </c>
    </row>
    <row r="167" spans="1:7" x14ac:dyDescent="0.3">
      <c r="A167" s="1">
        <v>45791</v>
      </c>
      <c r="B167" s="2">
        <v>112.96</v>
      </c>
      <c r="C167" s="2">
        <v>115.29</v>
      </c>
      <c r="D167" s="2">
        <v>112.84</v>
      </c>
      <c r="E167" s="2">
        <v>115.1</v>
      </c>
      <c r="F167" s="2">
        <v>115.1</v>
      </c>
      <c r="G167" s="3">
        <v>39101000</v>
      </c>
    </row>
    <row r="168" spans="1:7" x14ac:dyDescent="0.3">
      <c r="A168" s="1">
        <v>45790</v>
      </c>
      <c r="B168" s="2">
        <v>111.45</v>
      </c>
      <c r="C168" s="2">
        <v>114.79</v>
      </c>
      <c r="D168" s="2">
        <v>110.63</v>
      </c>
      <c r="E168" s="2">
        <v>113.84</v>
      </c>
      <c r="F168" s="2">
        <v>113.84</v>
      </c>
      <c r="G168" s="3">
        <v>39979000</v>
      </c>
    </row>
    <row r="169" spans="1:7" x14ac:dyDescent="0.3">
      <c r="A169" s="1">
        <v>45789</v>
      </c>
      <c r="B169" s="2">
        <v>112.43</v>
      </c>
      <c r="C169" s="2">
        <v>113</v>
      </c>
      <c r="D169" s="2">
        <v>110.29</v>
      </c>
      <c r="E169" s="2">
        <v>111</v>
      </c>
      <c r="F169" s="2">
        <v>111</v>
      </c>
      <c r="G169" s="3">
        <v>64791000</v>
      </c>
    </row>
    <row r="170" spans="1:7" x14ac:dyDescent="0.3">
      <c r="A170" s="1">
        <v>45786</v>
      </c>
      <c r="B170" s="2">
        <v>114.71</v>
      </c>
      <c r="C170" s="2">
        <v>115.1</v>
      </c>
      <c r="D170" s="2">
        <v>113.32</v>
      </c>
      <c r="E170" s="2">
        <v>114.02</v>
      </c>
      <c r="F170" s="2">
        <v>114.02</v>
      </c>
      <c r="G170" s="3">
        <v>25696000</v>
      </c>
    </row>
    <row r="171" spans="1:7" x14ac:dyDescent="0.3">
      <c r="A171" s="1">
        <v>45785</v>
      </c>
      <c r="B171" s="2">
        <v>116.16</v>
      </c>
      <c r="C171" s="2">
        <v>116.23</v>
      </c>
      <c r="D171" s="2">
        <v>113.92</v>
      </c>
      <c r="E171" s="2">
        <v>114.44</v>
      </c>
      <c r="F171" s="2">
        <v>114.44</v>
      </c>
      <c r="G171" s="3">
        <v>37609000</v>
      </c>
    </row>
    <row r="172" spans="1:7" x14ac:dyDescent="0.3">
      <c r="A172" s="1">
        <v>45784</v>
      </c>
      <c r="B172" s="2">
        <v>113.92</v>
      </c>
      <c r="C172" s="2">
        <v>116.4</v>
      </c>
      <c r="D172" s="2">
        <v>113.8</v>
      </c>
      <c r="E172" s="2">
        <v>115.54</v>
      </c>
      <c r="F172" s="2">
        <v>115.54</v>
      </c>
      <c r="G172" s="3">
        <v>43497000</v>
      </c>
    </row>
    <row r="173" spans="1:7" x14ac:dyDescent="0.3">
      <c r="A173" s="1">
        <v>45783</v>
      </c>
      <c r="B173" s="2">
        <v>112.94</v>
      </c>
      <c r="C173" s="2">
        <v>114.77</v>
      </c>
      <c r="D173" s="2">
        <v>112.64</v>
      </c>
      <c r="E173" s="2">
        <v>113.77</v>
      </c>
      <c r="F173" s="2">
        <v>113.77</v>
      </c>
      <c r="G173" s="3">
        <v>32567000</v>
      </c>
    </row>
    <row r="174" spans="1:7" x14ac:dyDescent="0.3">
      <c r="A174" s="1">
        <v>45782</v>
      </c>
      <c r="B174" s="2">
        <v>111.48</v>
      </c>
      <c r="C174" s="2">
        <v>114.4</v>
      </c>
      <c r="D174" s="2">
        <v>110.7</v>
      </c>
      <c r="E174" s="2">
        <v>113.41</v>
      </c>
      <c r="F174" s="2">
        <v>113.41</v>
      </c>
      <c r="G174" s="3">
        <v>56623000</v>
      </c>
    </row>
    <row r="175" spans="1:7" x14ac:dyDescent="0.3">
      <c r="A175" s="1">
        <v>45779</v>
      </c>
      <c r="B175" s="2">
        <v>113.67</v>
      </c>
      <c r="C175" s="2">
        <v>115.94</v>
      </c>
      <c r="D175" s="2">
        <v>113.33</v>
      </c>
      <c r="E175" s="2">
        <v>115.65</v>
      </c>
      <c r="F175" s="2">
        <v>115.65</v>
      </c>
      <c r="G175" s="3">
        <v>37743000</v>
      </c>
    </row>
    <row r="176" spans="1:7" x14ac:dyDescent="0.3">
      <c r="A176" s="1">
        <v>45778</v>
      </c>
      <c r="B176" s="2">
        <v>112.25</v>
      </c>
      <c r="C176" s="2">
        <v>114.24</v>
      </c>
      <c r="D176" s="2">
        <v>111.18</v>
      </c>
      <c r="E176" s="2">
        <v>113.35</v>
      </c>
      <c r="F176" s="2">
        <v>113.35</v>
      </c>
      <c r="G176" s="3">
        <v>34995000</v>
      </c>
    </row>
    <row r="177" spans="1:7" x14ac:dyDescent="0.3">
      <c r="A177" s="1">
        <v>45777</v>
      </c>
      <c r="B177" s="2">
        <v>111.26</v>
      </c>
      <c r="C177" s="2">
        <v>113.32</v>
      </c>
      <c r="D177" s="2">
        <v>110.11</v>
      </c>
      <c r="E177" s="2">
        <v>113.17</v>
      </c>
      <c r="F177" s="2">
        <v>113.17</v>
      </c>
      <c r="G177" s="3">
        <v>42667000</v>
      </c>
    </row>
    <row r="178" spans="1:7" x14ac:dyDescent="0.3">
      <c r="A178" s="1">
        <v>45776</v>
      </c>
      <c r="B178" s="2">
        <v>110.39</v>
      </c>
      <c r="C178" s="2">
        <v>112.78</v>
      </c>
      <c r="D178" s="2">
        <v>109.55</v>
      </c>
      <c r="E178" s="2">
        <v>112.56</v>
      </c>
      <c r="F178" s="2">
        <v>112.56</v>
      </c>
      <c r="G178" s="3">
        <v>37773000</v>
      </c>
    </row>
    <row r="179" spans="1:7" x14ac:dyDescent="0.3">
      <c r="A179" s="1">
        <v>45775</v>
      </c>
      <c r="B179" s="2">
        <v>110</v>
      </c>
      <c r="C179" s="2">
        <v>111.4</v>
      </c>
      <c r="D179" s="2">
        <v>108.26</v>
      </c>
      <c r="E179" s="2">
        <v>111.04</v>
      </c>
      <c r="F179" s="2">
        <v>111.04</v>
      </c>
      <c r="G179" s="3">
        <v>38311000</v>
      </c>
    </row>
    <row r="180" spans="1:7" x14ac:dyDescent="0.3">
      <c r="A180" s="1">
        <v>45772</v>
      </c>
      <c r="B180" s="2">
        <v>109.7</v>
      </c>
      <c r="C180" s="2">
        <v>110.68</v>
      </c>
      <c r="D180" s="2">
        <v>109.1</v>
      </c>
      <c r="E180" s="2">
        <v>110.15</v>
      </c>
      <c r="F180" s="2">
        <v>110.15</v>
      </c>
      <c r="G180" s="3">
        <v>39500000</v>
      </c>
    </row>
    <row r="181" spans="1:7" x14ac:dyDescent="0.3">
      <c r="A181" s="1">
        <v>45771</v>
      </c>
      <c r="B181" s="2">
        <v>104.8</v>
      </c>
      <c r="C181" s="2">
        <v>110.1</v>
      </c>
      <c r="D181" s="2">
        <v>104.7</v>
      </c>
      <c r="E181" s="2">
        <v>109.69</v>
      </c>
      <c r="F181" s="2">
        <v>109.69</v>
      </c>
      <c r="G181" s="3">
        <v>63819000</v>
      </c>
    </row>
    <row r="182" spans="1:7" x14ac:dyDescent="0.3">
      <c r="A182" s="1">
        <v>45770</v>
      </c>
      <c r="B182" s="2">
        <v>104.72</v>
      </c>
      <c r="C182" s="2">
        <v>106.13</v>
      </c>
      <c r="D182" s="2">
        <v>103.2</v>
      </c>
      <c r="E182" s="2">
        <v>104.96</v>
      </c>
      <c r="F182" s="2">
        <v>104.96</v>
      </c>
      <c r="G182" s="3">
        <v>64719000</v>
      </c>
    </row>
    <row r="183" spans="1:7" x14ac:dyDescent="0.3">
      <c r="A183" s="1">
        <v>45769</v>
      </c>
      <c r="B183" s="2">
        <v>100.53</v>
      </c>
      <c r="C183" s="2">
        <v>106.5</v>
      </c>
      <c r="D183" s="2">
        <v>100.45</v>
      </c>
      <c r="E183" s="2">
        <v>104.03</v>
      </c>
      <c r="F183" s="2">
        <v>104.03</v>
      </c>
      <c r="G183" s="3">
        <v>93689000</v>
      </c>
    </row>
    <row r="184" spans="1:7" x14ac:dyDescent="0.3">
      <c r="A184" s="1">
        <v>45768</v>
      </c>
      <c r="B184" s="2">
        <v>98.44</v>
      </c>
      <c r="C184" s="2">
        <v>101.9</v>
      </c>
      <c r="D184" s="2">
        <v>97.31</v>
      </c>
      <c r="E184" s="2">
        <v>98.79</v>
      </c>
      <c r="F184" s="2">
        <v>98.79</v>
      </c>
      <c r="G184" s="3">
        <v>97757000</v>
      </c>
    </row>
    <row r="185" spans="1:7" x14ac:dyDescent="0.3">
      <c r="A185" s="1">
        <v>45764</v>
      </c>
      <c r="B185" s="2">
        <v>96.9</v>
      </c>
      <c r="C185" s="2">
        <v>98.47</v>
      </c>
      <c r="D185" s="2">
        <v>95.6</v>
      </c>
      <c r="E185" s="2">
        <v>97.3</v>
      </c>
      <c r="F185" s="2">
        <v>97.3</v>
      </c>
      <c r="G185" s="3">
        <v>88937000</v>
      </c>
    </row>
    <row r="186" spans="1:7" x14ac:dyDescent="0.3">
      <c r="A186" s="1">
        <v>45763</v>
      </c>
      <c r="B186" s="2">
        <v>97.63</v>
      </c>
      <c r="C186" s="2">
        <v>98.12</v>
      </c>
      <c r="D186" s="2">
        <v>94.92</v>
      </c>
      <c r="E186" s="2">
        <v>96.16</v>
      </c>
      <c r="F186" s="2">
        <v>96.16</v>
      </c>
      <c r="G186" s="3">
        <v>60661000</v>
      </c>
    </row>
    <row r="187" spans="1:7" x14ac:dyDescent="0.3">
      <c r="A187" s="1">
        <v>45762</v>
      </c>
      <c r="B187" s="2">
        <v>95</v>
      </c>
      <c r="C187" s="2">
        <v>99.35</v>
      </c>
      <c r="D187" s="2">
        <v>94.8</v>
      </c>
      <c r="E187" s="2">
        <v>97.63</v>
      </c>
      <c r="F187" s="2">
        <v>97.63</v>
      </c>
      <c r="G187" s="3">
        <v>77120000</v>
      </c>
    </row>
    <row r="188" spans="1:7" x14ac:dyDescent="0.3">
      <c r="A188" s="1">
        <v>45761</v>
      </c>
      <c r="B188" s="2">
        <v>93.27</v>
      </c>
      <c r="C188" s="2">
        <v>94.9</v>
      </c>
      <c r="D188" s="2">
        <v>91.95</v>
      </c>
      <c r="E188" s="2">
        <v>93.13</v>
      </c>
      <c r="F188" s="2">
        <v>93.13</v>
      </c>
      <c r="G188" s="3">
        <v>40359000</v>
      </c>
    </row>
    <row r="189" spans="1:7" x14ac:dyDescent="0.3">
      <c r="A189" s="1">
        <v>45758</v>
      </c>
      <c r="B189" s="2">
        <v>92</v>
      </c>
      <c r="C189" s="2">
        <v>94.49</v>
      </c>
      <c r="D189" s="2">
        <v>90.67</v>
      </c>
      <c r="E189" s="2">
        <v>91.83</v>
      </c>
      <c r="F189" s="2">
        <v>91.83</v>
      </c>
      <c r="G189" s="3">
        <v>40736000</v>
      </c>
    </row>
    <row r="190" spans="1:7" x14ac:dyDescent="0.3">
      <c r="A190" s="1">
        <v>45757</v>
      </c>
      <c r="B190" s="2">
        <v>93.19</v>
      </c>
      <c r="C190" s="2">
        <v>94.12</v>
      </c>
      <c r="D190" s="2">
        <v>89.4</v>
      </c>
      <c r="E190" s="2">
        <v>92.12</v>
      </c>
      <c r="F190" s="2">
        <v>92.12</v>
      </c>
      <c r="G190" s="3">
        <v>51298000</v>
      </c>
    </row>
    <row r="191" spans="1:7" x14ac:dyDescent="0.3">
      <c r="A191" s="1">
        <v>45756</v>
      </c>
      <c r="B191" s="2">
        <v>85.59</v>
      </c>
      <c r="C191" s="2">
        <v>95.14</v>
      </c>
      <c r="D191" s="2">
        <v>85.44</v>
      </c>
      <c r="E191" s="2">
        <v>94.55</v>
      </c>
      <c r="F191" s="2">
        <v>94.55</v>
      </c>
      <c r="G191" s="3">
        <v>74980000</v>
      </c>
    </row>
    <row r="192" spans="1:7" x14ac:dyDescent="0.3">
      <c r="A192" s="1">
        <v>45755</v>
      </c>
      <c r="B192" s="2">
        <v>91.24</v>
      </c>
      <c r="C192" s="2">
        <v>92.24</v>
      </c>
      <c r="D192" s="2">
        <v>85.77</v>
      </c>
      <c r="E192" s="2">
        <v>87.04</v>
      </c>
      <c r="F192" s="2">
        <v>87.04</v>
      </c>
      <c r="G192" s="3">
        <v>56254000</v>
      </c>
    </row>
    <row r="193" spans="1:7" x14ac:dyDescent="0.3">
      <c r="A193" s="1">
        <v>45754</v>
      </c>
      <c r="B193" s="2">
        <v>82.79</v>
      </c>
      <c r="C193" s="2">
        <v>90.67</v>
      </c>
      <c r="D193" s="2">
        <v>82.11</v>
      </c>
      <c r="E193" s="2">
        <v>86.78</v>
      </c>
      <c r="F193" s="2">
        <v>86.78</v>
      </c>
      <c r="G193" s="3">
        <v>66568000</v>
      </c>
    </row>
    <row r="194" spans="1:7" x14ac:dyDescent="0.3">
      <c r="A194" s="1">
        <v>45751</v>
      </c>
      <c r="B194" s="2">
        <v>89.65</v>
      </c>
      <c r="C194" s="2">
        <v>90.66</v>
      </c>
      <c r="D194" s="2">
        <v>85.39</v>
      </c>
      <c r="E194" s="2">
        <v>85.59</v>
      </c>
      <c r="F194" s="2">
        <v>85.59</v>
      </c>
      <c r="G194" s="3">
        <v>67988000</v>
      </c>
    </row>
    <row r="195" spans="1:7" x14ac:dyDescent="0.3">
      <c r="A195" s="1">
        <v>45750</v>
      </c>
      <c r="B195" s="2">
        <v>90.18</v>
      </c>
      <c r="C195" s="2">
        <v>94.66</v>
      </c>
      <c r="D195" s="2">
        <v>90.05</v>
      </c>
      <c r="E195" s="2">
        <v>91.71</v>
      </c>
      <c r="F195" s="2">
        <v>91.71</v>
      </c>
      <c r="G195" s="3">
        <v>58646000</v>
      </c>
    </row>
    <row r="196" spans="1:7" x14ac:dyDescent="0.3">
      <c r="A196" s="1">
        <v>45749</v>
      </c>
      <c r="B196" s="2">
        <v>92.3</v>
      </c>
      <c r="C196" s="2">
        <v>94.96</v>
      </c>
      <c r="D196" s="2">
        <v>91.61</v>
      </c>
      <c r="E196" s="2">
        <v>93.55</v>
      </c>
      <c r="F196" s="2">
        <v>93.55</v>
      </c>
      <c r="G196" s="3">
        <v>32569000</v>
      </c>
    </row>
    <row r="197" spans="1:7" x14ac:dyDescent="0.3">
      <c r="A197" s="1">
        <v>45748</v>
      </c>
      <c r="B197" s="2">
        <v>92.75</v>
      </c>
      <c r="C197" s="2">
        <v>93.23</v>
      </c>
      <c r="D197" s="2">
        <v>91.15</v>
      </c>
      <c r="E197" s="2">
        <v>92.84</v>
      </c>
      <c r="F197" s="2">
        <v>92.84</v>
      </c>
      <c r="G197" s="3">
        <v>35200000</v>
      </c>
    </row>
    <row r="198" spans="1:7" x14ac:dyDescent="0.3">
      <c r="A198" s="1">
        <v>45747</v>
      </c>
      <c r="B198" s="2">
        <v>92.05</v>
      </c>
      <c r="C198" s="2">
        <v>93.45</v>
      </c>
      <c r="D198" s="2">
        <v>90.06</v>
      </c>
      <c r="E198" s="2">
        <v>93.25</v>
      </c>
      <c r="F198" s="2">
        <v>93.25</v>
      </c>
      <c r="G198" s="3">
        <v>46341000</v>
      </c>
    </row>
    <row r="199" spans="1:7" x14ac:dyDescent="0.3">
      <c r="A199" s="1">
        <v>45744</v>
      </c>
      <c r="B199" s="2">
        <v>97.2</v>
      </c>
      <c r="C199" s="2">
        <v>97.5</v>
      </c>
      <c r="D199" s="2">
        <v>92.92</v>
      </c>
      <c r="E199" s="2">
        <v>93.39</v>
      </c>
      <c r="F199" s="2">
        <v>93.39</v>
      </c>
      <c r="G199" s="3">
        <v>44227000</v>
      </c>
    </row>
    <row r="200" spans="1:7" x14ac:dyDescent="0.3">
      <c r="A200" s="1">
        <v>45743</v>
      </c>
      <c r="B200" s="2">
        <v>97.42</v>
      </c>
      <c r="C200" s="2">
        <v>98.9</v>
      </c>
      <c r="D200" s="2">
        <v>96.64</v>
      </c>
      <c r="E200" s="2">
        <v>97.67</v>
      </c>
      <c r="F200" s="2">
        <v>97.67</v>
      </c>
      <c r="G200" s="3">
        <v>30472000</v>
      </c>
    </row>
    <row r="201" spans="1:7" x14ac:dyDescent="0.3">
      <c r="A201" s="1">
        <v>45742</v>
      </c>
      <c r="B201" s="2">
        <v>99.38</v>
      </c>
      <c r="C201" s="2">
        <v>99.68</v>
      </c>
      <c r="D201" s="2">
        <v>96.63</v>
      </c>
      <c r="E201" s="2">
        <v>97.07</v>
      </c>
      <c r="F201" s="2">
        <v>97.07</v>
      </c>
      <c r="G201" s="3">
        <v>35274000</v>
      </c>
    </row>
    <row r="202" spans="1:7" x14ac:dyDescent="0.3">
      <c r="A202" s="1">
        <v>45741</v>
      </c>
      <c r="B202" s="2">
        <v>97.82</v>
      </c>
      <c r="C202" s="2">
        <v>99.87</v>
      </c>
      <c r="D202" s="2">
        <v>97.71</v>
      </c>
      <c r="E202" s="2">
        <v>99.73</v>
      </c>
      <c r="F202" s="2">
        <v>99.73</v>
      </c>
      <c r="G202" s="3">
        <v>37822000</v>
      </c>
    </row>
    <row r="203" spans="1:7" x14ac:dyDescent="0.3">
      <c r="A203" s="1">
        <v>45740</v>
      </c>
      <c r="B203" s="2">
        <v>96.97</v>
      </c>
      <c r="C203" s="2">
        <v>97.7</v>
      </c>
      <c r="D203" s="2">
        <v>95.15</v>
      </c>
      <c r="E203" s="2">
        <v>97.2</v>
      </c>
      <c r="F203" s="2">
        <v>97.2</v>
      </c>
      <c r="G203" s="3">
        <v>46779000</v>
      </c>
    </row>
    <row r="204" spans="1:7" x14ac:dyDescent="0.3">
      <c r="A204" s="1">
        <v>45737</v>
      </c>
      <c r="B204" s="2">
        <v>94.16</v>
      </c>
      <c r="C204" s="2">
        <v>96.36</v>
      </c>
      <c r="D204" s="2">
        <v>94.1</v>
      </c>
      <c r="E204" s="2">
        <v>96.03</v>
      </c>
      <c r="F204" s="2">
        <v>96.03</v>
      </c>
      <c r="G204" s="3">
        <v>59054000</v>
      </c>
    </row>
    <row r="205" spans="1:7" x14ac:dyDescent="0.3">
      <c r="A205" s="1">
        <v>45736</v>
      </c>
      <c r="B205" s="2">
        <v>95</v>
      </c>
      <c r="C205" s="2">
        <v>96.7</v>
      </c>
      <c r="D205" s="2">
        <v>94.55</v>
      </c>
      <c r="E205" s="2">
        <v>95.08</v>
      </c>
      <c r="F205" s="2">
        <v>95.08</v>
      </c>
      <c r="G205" s="3">
        <v>44663000</v>
      </c>
    </row>
    <row r="206" spans="1:7" x14ac:dyDescent="0.3">
      <c r="A206" s="1">
        <v>45735</v>
      </c>
      <c r="B206" s="2">
        <v>93.58</v>
      </c>
      <c r="C206" s="2">
        <v>96.8</v>
      </c>
      <c r="D206" s="2">
        <v>92.4</v>
      </c>
      <c r="E206" s="2">
        <v>95.95</v>
      </c>
      <c r="F206" s="2">
        <v>95.95</v>
      </c>
      <c r="G206" s="3">
        <v>66624000</v>
      </c>
    </row>
    <row r="207" spans="1:7" x14ac:dyDescent="0.3">
      <c r="A207" s="1">
        <v>45734</v>
      </c>
      <c r="B207" s="2">
        <v>94</v>
      </c>
      <c r="C207" s="2">
        <v>94.82</v>
      </c>
      <c r="D207" s="2">
        <v>91.63</v>
      </c>
      <c r="E207" s="2">
        <v>93</v>
      </c>
      <c r="F207" s="2">
        <v>93</v>
      </c>
      <c r="G207" s="3">
        <v>60094000</v>
      </c>
    </row>
    <row r="208" spans="1:7" x14ac:dyDescent="0.3">
      <c r="A208" s="1">
        <v>45733</v>
      </c>
      <c r="B208" s="2">
        <v>94</v>
      </c>
      <c r="C208" s="2">
        <v>96.76</v>
      </c>
      <c r="D208" s="2">
        <v>93.44</v>
      </c>
      <c r="E208" s="2">
        <v>95</v>
      </c>
      <c r="F208" s="2">
        <v>95</v>
      </c>
      <c r="G208" s="3">
        <v>75431000</v>
      </c>
    </row>
    <row r="209" spans="1:7" x14ac:dyDescent="0.3">
      <c r="A209" s="1">
        <v>45730</v>
      </c>
      <c r="B209" s="2">
        <v>90.15</v>
      </c>
      <c r="C209" s="2">
        <v>91.96</v>
      </c>
      <c r="D209" s="2">
        <v>90.1</v>
      </c>
      <c r="E209" s="2">
        <v>91.8</v>
      </c>
      <c r="F209" s="2">
        <v>91.8</v>
      </c>
      <c r="G209" s="3">
        <v>52007000</v>
      </c>
    </row>
    <row r="210" spans="1:7" x14ac:dyDescent="0.3">
      <c r="A210" s="1">
        <v>45729</v>
      </c>
      <c r="B210" s="2">
        <v>91.3</v>
      </c>
      <c r="C210" s="2">
        <v>92.19</v>
      </c>
      <c r="D210" s="2">
        <v>88.75</v>
      </c>
      <c r="E210" s="2">
        <v>89.02</v>
      </c>
      <c r="F210" s="2">
        <v>89.02</v>
      </c>
      <c r="G210" s="3">
        <v>50017000</v>
      </c>
    </row>
    <row r="211" spans="1:7" x14ac:dyDescent="0.3">
      <c r="A211" s="1">
        <v>45728</v>
      </c>
      <c r="B211" s="2">
        <v>91.46</v>
      </c>
      <c r="C211" s="2">
        <v>92.72</v>
      </c>
      <c r="D211" s="2">
        <v>90.1</v>
      </c>
      <c r="E211" s="2">
        <v>91.97</v>
      </c>
      <c r="F211" s="2">
        <v>91.97</v>
      </c>
      <c r="G211" s="3">
        <v>68658000</v>
      </c>
    </row>
    <row r="212" spans="1:7" x14ac:dyDescent="0.3">
      <c r="A212" s="1">
        <v>45727</v>
      </c>
      <c r="B212" s="2">
        <v>86.74</v>
      </c>
      <c r="C212" s="2">
        <v>91.07</v>
      </c>
      <c r="D212" s="2">
        <v>86.6</v>
      </c>
      <c r="E212" s="2">
        <v>89.51</v>
      </c>
      <c r="F212" s="2">
        <v>89.51</v>
      </c>
      <c r="G212" s="3">
        <v>73989000</v>
      </c>
    </row>
    <row r="213" spans="1:7" x14ac:dyDescent="0.3">
      <c r="A213" s="1">
        <v>45726</v>
      </c>
      <c r="B213" s="2">
        <v>87.51</v>
      </c>
      <c r="C213" s="2">
        <v>88.13</v>
      </c>
      <c r="D213" s="2">
        <v>85.45</v>
      </c>
      <c r="E213" s="2">
        <v>86.67</v>
      </c>
      <c r="F213" s="2">
        <v>86.67</v>
      </c>
      <c r="G213" s="3">
        <v>69953000</v>
      </c>
    </row>
    <row r="214" spans="1:7" x14ac:dyDescent="0.3">
      <c r="A214" s="1">
        <v>45723</v>
      </c>
      <c r="B214" s="2">
        <v>89.76</v>
      </c>
      <c r="C214" s="2">
        <v>90.49</v>
      </c>
      <c r="D214" s="2">
        <v>85.81</v>
      </c>
      <c r="E214" s="2">
        <v>89.11</v>
      </c>
      <c r="F214" s="2">
        <v>89.11</v>
      </c>
      <c r="G214" s="3">
        <v>77375000</v>
      </c>
    </row>
    <row r="215" spans="1:7" x14ac:dyDescent="0.3">
      <c r="A215" s="1">
        <v>45722</v>
      </c>
      <c r="B215" s="2">
        <v>97.3</v>
      </c>
      <c r="C215" s="2">
        <v>97.37</v>
      </c>
      <c r="D215" s="2">
        <v>89.9</v>
      </c>
      <c r="E215" s="2">
        <v>90.64</v>
      </c>
      <c r="F215" s="2">
        <v>90.64</v>
      </c>
      <c r="G215" s="3">
        <v>78526000</v>
      </c>
    </row>
    <row r="216" spans="1:7" x14ac:dyDescent="0.3">
      <c r="A216" s="1">
        <v>45721</v>
      </c>
      <c r="B216" s="2">
        <v>97.36</v>
      </c>
      <c r="C216" s="2">
        <v>99.56</v>
      </c>
      <c r="D216" s="2">
        <v>96.95</v>
      </c>
      <c r="E216" s="2">
        <v>99.09</v>
      </c>
      <c r="F216" s="2">
        <v>99.09</v>
      </c>
      <c r="G216" s="3">
        <v>38079000</v>
      </c>
    </row>
    <row r="217" spans="1:7" x14ac:dyDescent="0.3">
      <c r="A217" s="1">
        <v>45720</v>
      </c>
      <c r="B217" s="2">
        <v>97.16</v>
      </c>
      <c r="C217" s="2">
        <v>98.63</v>
      </c>
      <c r="D217" s="2">
        <v>94.82</v>
      </c>
      <c r="E217" s="2">
        <v>97.26</v>
      </c>
      <c r="F217" s="2">
        <v>97.26</v>
      </c>
      <c r="G217" s="3">
        <v>43928000</v>
      </c>
    </row>
    <row r="218" spans="1:7" x14ac:dyDescent="0.3">
      <c r="A218" s="1">
        <v>45719</v>
      </c>
      <c r="B218" s="2">
        <v>98.3</v>
      </c>
      <c r="C218" s="2">
        <v>99.49</v>
      </c>
      <c r="D218" s="2">
        <v>96.48</v>
      </c>
      <c r="E218" s="2">
        <v>97.37</v>
      </c>
      <c r="F218" s="2">
        <v>97.37</v>
      </c>
      <c r="G218" s="3">
        <v>39074000</v>
      </c>
    </row>
    <row r="219" spans="1:7" x14ac:dyDescent="0.3">
      <c r="A219" s="1">
        <v>45716</v>
      </c>
      <c r="B219" s="2">
        <v>96.96</v>
      </c>
      <c r="C219" s="2">
        <v>98.23</v>
      </c>
      <c r="D219" s="2">
        <v>95.82</v>
      </c>
      <c r="E219" s="2">
        <v>98.06</v>
      </c>
      <c r="F219" s="2">
        <v>98.06</v>
      </c>
      <c r="G219" s="3">
        <v>47174000</v>
      </c>
    </row>
    <row r="220" spans="1:7" x14ac:dyDescent="0.3">
      <c r="A220" s="1">
        <v>45715</v>
      </c>
      <c r="B220" s="2">
        <v>99.5</v>
      </c>
      <c r="C220" s="2">
        <v>100.07</v>
      </c>
      <c r="D220" s="2">
        <v>96.18</v>
      </c>
      <c r="E220" s="2">
        <v>96.31</v>
      </c>
      <c r="F220" s="2">
        <v>96.31</v>
      </c>
      <c r="G220" s="3">
        <v>37666000</v>
      </c>
    </row>
    <row r="221" spans="1:7" x14ac:dyDescent="0.3">
      <c r="A221" s="1">
        <v>45714</v>
      </c>
      <c r="B221" s="2">
        <v>97.76</v>
      </c>
      <c r="C221" s="2">
        <v>100.09</v>
      </c>
      <c r="D221" s="2">
        <v>97.69</v>
      </c>
      <c r="E221" s="2">
        <v>99.01</v>
      </c>
      <c r="F221" s="2">
        <v>99.01</v>
      </c>
      <c r="G221" s="3">
        <v>33972000</v>
      </c>
    </row>
    <row r="222" spans="1:7" x14ac:dyDescent="0.3">
      <c r="A222" s="1">
        <v>45713</v>
      </c>
      <c r="B222" s="2">
        <v>98.94</v>
      </c>
      <c r="C222" s="2">
        <v>99.44</v>
      </c>
      <c r="D222" s="2">
        <v>95.5</v>
      </c>
      <c r="E222" s="2">
        <v>97.72</v>
      </c>
      <c r="F222" s="2">
        <v>97.72</v>
      </c>
      <c r="G222" s="3">
        <v>47383000</v>
      </c>
    </row>
    <row r="223" spans="1:7" x14ac:dyDescent="0.3">
      <c r="A223" s="1">
        <v>45712</v>
      </c>
      <c r="B223" s="2">
        <v>100.8</v>
      </c>
      <c r="C223" s="2">
        <v>101.52</v>
      </c>
      <c r="D223" s="2">
        <v>98.45</v>
      </c>
      <c r="E223" s="2">
        <v>98.85</v>
      </c>
      <c r="F223" s="2">
        <v>98.85</v>
      </c>
      <c r="G223" s="3">
        <v>44262000</v>
      </c>
    </row>
    <row r="224" spans="1:7" x14ac:dyDescent="0.3">
      <c r="A224" s="1">
        <v>45709</v>
      </c>
      <c r="B224" s="2">
        <v>102.94</v>
      </c>
      <c r="C224" s="2">
        <v>103.24</v>
      </c>
      <c r="D224" s="2">
        <v>99.94</v>
      </c>
      <c r="E224" s="2">
        <v>100.32</v>
      </c>
      <c r="F224" s="2">
        <v>100.32</v>
      </c>
      <c r="G224" s="3">
        <v>37387000</v>
      </c>
    </row>
    <row r="225" spans="1:7" x14ac:dyDescent="0.3">
      <c r="A225" s="1">
        <v>45708</v>
      </c>
      <c r="B225" s="2">
        <v>104.2</v>
      </c>
      <c r="C225" s="2">
        <v>104.5</v>
      </c>
      <c r="D225" s="2">
        <v>101.56</v>
      </c>
      <c r="E225" s="2">
        <v>102.45</v>
      </c>
      <c r="F225" s="2">
        <v>102.45</v>
      </c>
      <c r="G225" s="3">
        <v>31118000</v>
      </c>
    </row>
    <row r="226" spans="1:7" x14ac:dyDescent="0.3">
      <c r="A226" s="1">
        <v>45707</v>
      </c>
      <c r="B226" s="2">
        <v>103.52</v>
      </c>
      <c r="C226" s="2">
        <v>104.5</v>
      </c>
      <c r="D226" s="2">
        <v>102.45</v>
      </c>
      <c r="E226" s="2">
        <v>104.33</v>
      </c>
      <c r="F226" s="2">
        <v>104.33</v>
      </c>
      <c r="G226" s="3">
        <v>26000000</v>
      </c>
    </row>
    <row r="227" spans="1:7" x14ac:dyDescent="0.3">
      <c r="A227" s="1">
        <v>45706</v>
      </c>
      <c r="B227" s="2">
        <v>106</v>
      </c>
      <c r="C227" s="2">
        <v>106.2</v>
      </c>
      <c r="D227" s="2">
        <v>102.38</v>
      </c>
      <c r="E227" s="2">
        <v>103.58</v>
      </c>
      <c r="F227" s="2">
        <v>103.58</v>
      </c>
      <c r="G227" s="3">
        <v>42293000</v>
      </c>
    </row>
    <row r="228" spans="1:7" x14ac:dyDescent="0.3">
      <c r="A228" s="1">
        <v>45702</v>
      </c>
      <c r="B228" s="2">
        <v>104.5</v>
      </c>
      <c r="C228" s="2">
        <v>106.45</v>
      </c>
      <c r="D228" s="2">
        <v>104.17</v>
      </c>
      <c r="E228" s="2">
        <v>105.86</v>
      </c>
      <c r="F228" s="2">
        <v>105.86</v>
      </c>
      <c r="G228" s="3">
        <v>31454000</v>
      </c>
    </row>
    <row r="229" spans="1:7" x14ac:dyDescent="0.3">
      <c r="A229" s="1">
        <v>45701</v>
      </c>
      <c r="B229" s="2">
        <v>102.66</v>
      </c>
      <c r="C229" s="2">
        <v>104.6</v>
      </c>
      <c r="D229" s="2">
        <v>102.51</v>
      </c>
      <c r="E229" s="2">
        <v>104.37</v>
      </c>
      <c r="F229" s="2">
        <v>104.37</v>
      </c>
      <c r="G229" s="3">
        <v>34761000</v>
      </c>
    </row>
    <row r="230" spans="1:7" x14ac:dyDescent="0.3">
      <c r="A230" s="1">
        <v>45700</v>
      </c>
      <c r="B230" s="2">
        <v>100.55</v>
      </c>
      <c r="C230" s="2">
        <v>102.77</v>
      </c>
      <c r="D230" s="2">
        <v>99.83</v>
      </c>
      <c r="E230" s="2">
        <v>102.73</v>
      </c>
      <c r="F230" s="2">
        <v>102.73</v>
      </c>
      <c r="G230" s="3">
        <v>33890000</v>
      </c>
    </row>
    <row r="231" spans="1:7" x14ac:dyDescent="0.3">
      <c r="A231" s="1">
        <v>45699</v>
      </c>
      <c r="B231" s="2">
        <v>102.08</v>
      </c>
      <c r="C231" s="2">
        <v>102.27</v>
      </c>
      <c r="D231" s="2">
        <v>100.29</v>
      </c>
      <c r="E231" s="2">
        <v>100.81</v>
      </c>
      <c r="F231" s="2">
        <v>100.81</v>
      </c>
      <c r="G231" s="3">
        <v>33318000</v>
      </c>
    </row>
    <row r="232" spans="1:7" x14ac:dyDescent="0.3">
      <c r="A232" s="1">
        <v>45698</v>
      </c>
      <c r="B232" s="2">
        <v>102.31</v>
      </c>
      <c r="C232" s="2">
        <v>103.29</v>
      </c>
      <c r="D232" s="2">
        <v>101.59</v>
      </c>
      <c r="E232" s="2">
        <v>102.76</v>
      </c>
      <c r="F232" s="2">
        <v>102.76</v>
      </c>
      <c r="G232" s="3">
        <v>32966000</v>
      </c>
    </row>
    <row r="233" spans="1:7" x14ac:dyDescent="0.3">
      <c r="A233" s="1">
        <v>45695</v>
      </c>
      <c r="B233" s="2">
        <v>101.7</v>
      </c>
      <c r="C233" s="2">
        <v>102.78</v>
      </c>
      <c r="D233" s="2">
        <v>100.57</v>
      </c>
      <c r="E233" s="2">
        <v>101.39</v>
      </c>
      <c r="F233" s="2">
        <v>101.39</v>
      </c>
      <c r="G233" s="3">
        <v>32129000</v>
      </c>
    </row>
    <row r="234" spans="1:7" x14ac:dyDescent="0.3">
      <c r="A234" s="1">
        <v>45694</v>
      </c>
      <c r="B234" s="2">
        <v>100.79</v>
      </c>
      <c r="C234" s="2">
        <v>101.64</v>
      </c>
      <c r="D234" s="2">
        <v>100.26</v>
      </c>
      <c r="E234" s="2">
        <v>101.57</v>
      </c>
      <c r="F234" s="2">
        <v>101.57</v>
      </c>
      <c r="G234" s="3">
        <v>31343000</v>
      </c>
    </row>
    <row r="235" spans="1:7" x14ac:dyDescent="0.3">
      <c r="A235" s="1">
        <v>45693</v>
      </c>
      <c r="B235" s="2">
        <v>98.77</v>
      </c>
      <c r="C235" s="2">
        <v>101.18</v>
      </c>
      <c r="D235" s="2">
        <v>98.67</v>
      </c>
      <c r="E235" s="2">
        <v>101.11</v>
      </c>
      <c r="F235" s="2">
        <v>101.11</v>
      </c>
      <c r="G235" s="3">
        <v>39934000</v>
      </c>
    </row>
    <row r="236" spans="1:7" x14ac:dyDescent="0.3">
      <c r="A236" s="1">
        <v>45692</v>
      </c>
      <c r="B236" s="2">
        <v>98.05</v>
      </c>
      <c r="C236" s="2">
        <v>100.8</v>
      </c>
      <c r="D236" s="2">
        <v>97.85</v>
      </c>
      <c r="E236" s="2">
        <v>99.49</v>
      </c>
      <c r="F236" s="2">
        <v>99.49</v>
      </c>
      <c r="G236" s="3">
        <v>60001000</v>
      </c>
    </row>
    <row r="237" spans="1:7" x14ac:dyDescent="0.3">
      <c r="A237" s="1">
        <v>45691</v>
      </c>
      <c r="B237" s="2">
        <v>97.3</v>
      </c>
      <c r="C237" s="2">
        <v>98.77</v>
      </c>
      <c r="D237" s="2">
        <v>96.44</v>
      </c>
      <c r="E237" s="2">
        <v>97.89</v>
      </c>
      <c r="F237" s="2">
        <v>97.89</v>
      </c>
      <c r="G237" s="3">
        <v>37242000</v>
      </c>
    </row>
    <row r="238" spans="1:7" x14ac:dyDescent="0.3">
      <c r="A238" s="1">
        <v>45688</v>
      </c>
      <c r="B238" s="2">
        <v>97.4</v>
      </c>
      <c r="C238" s="2">
        <v>99.03</v>
      </c>
      <c r="D238" s="2">
        <v>97.4</v>
      </c>
      <c r="E238" s="2">
        <v>97.68</v>
      </c>
      <c r="F238" s="2">
        <v>97.68</v>
      </c>
      <c r="G238" s="3">
        <v>36151000</v>
      </c>
    </row>
    <row r="239" spans="1:7" x14ac:dyDescent="0.3">
      <c r="A239" s="1">
        <v>45687</v>
      </c>
      <c r="B239" s="2">
        <v>98.68</v>
      </c>
      <c r="C239" s="2">
        <v>99.46</v>
      </c>
      <c r="D239" s="2">
        <v>97</v>
      </c>
      <c r="E239" s="2">
        <v>97.32</v>
      </c>
      <c r="F239" s="2">
        <v>97.32</v>
      </c>
      <c r="G239" s="3">
        <v>38678000</v>
      </c>
    </row>
    <row r="240" spans="1:7" x14ac:dyDescent="0.3">
      <c r="A240" s="1">
        <v>45686</v>
      </c>
      <c r="B240" s="2">
        <v>98</v>
      </c>
      <c r="C240" s="2">
        <v>98.76</v>
      </c>
      <c r="D240" s="2">
        <v>96.82</v>
      </c>
      <c r="E240" s="2">
        <v>97.82</v>
      </c>
      <c r="F240" s="2">
        <v>97.82</v>
      </c>
      <c r="G240" s="3">
        <v>29307000</v>
      </c>
    </row>
    <row r="241" spans="1:7" x14ac:dyDescent="0.3">
      <c r="A241" s="1">
        <v>45685</v>
      </c>
      <c r="B241" s="2">
        <v>96.67</v>
      </c>
      <c r="C241" s="2">
        <v>97.79</v>
      </c>
      <c r="D241" s="2">
        <v>95.73</v>
      </c>
      <c r="E241" s="2">
        <v>97.18</v>
      </c>
      <c r="F241" s="2">
        <v>97.18</v>
      </c>
      <c r="G241" s="3">
        <v>34340000</v>
      </c>
    </row>
    <row r="242" spans="1:7" x14ac:dyDescent="0.3">
      <c r="A242" s="1">
        <v>45684</v>
      </c>
      <c r="B242" s="2">
        <v>97.11</v>
      </c>
      <c r="C242" s="2">
        <v>98.23</v>
      </c>
      <c r="D242" s="2">
        <v>96.03</v>
      </c>
      <c r="E242" s="2">
        <v>97.19</v>
      </c>
      <c r="F242" s="2">
        <v>97.19</v>
      </c>
      <c r="G242" s="3">
        <v>46342000</v>
      </c>
    </row>
    <row r="243" spans="1:7" x14ac:dyDescent="0.3">
      <c r="A243" s="1">
        <v>45681</v>
      </c>
      <c r="B243" s="2">
        <v>98.44</v>
      </c>
      <c r="C243" s="2">
        <v>98.63</v>
      </c>
      <c r="D243" s="2">
        <v>96.77</v>
      </c>
      <c r="E243" s="2">
        <v>97.76</v>
      </c>
      <c r="F243" s="2">
        <v>97.76</v>
      </c>
      <c r="G243" s="3">
        <v>45504000</v>
      </c>
    </row>
    <row r="244" spans="1:7" x14ac:dyDescent="0.3">
      <c r="A244" s="1">
        <v>45680</v>
      </c>
      <c r="B244" s="2">
        <v>95.78</v>
      </c>
      <c r="C244" s="2">
        <v>98.5</v>
      </c>
      <c r="D244" s="2">
        <v>95.39</v>
      </c>
      <c r="E244" s="2">
        <v>98.49</v>
      </c>
      <c r="F244" s="2">
        <v>98.49</v>
      </c>
      <c r="G244" s="3">
        <v>77521000</v>
      </c>
    </row>
    <row r="245" spans="1:7" x14ac:dyDescent="0.3">
      <c r="A245" s="1">
        <v>45679</v>
      </c>
      <c r="B245" s="2">
        <v>99.8</v>
      </c>
      <c r="C245" s="2">
        <v>99.9</v>
      </c>
      <c r="D245" s="2">
        <v>95.08</v>
      </c>
      <c r="E245" s="2">
        <v>95.4</v>
      </c>
      <c r="F245" s="2">
        <v>95.4</v>
      </c>
      <c r="G245" s="3">
        <v>142732000</v>
      </c>
    </row>
    <row r="246" spans="1:7" x14ac:dyDescent="0.3">
      <c r="A246" s="1">
        <v>45678</v>
      </c>
      <c r="B246" s="2">
        <v>86.35</v>
      </c>
      <c r="C246" s="2">
        <v>91.64</v>
      </c>
      <c r="D246" s="2">
        <v>85.47</v>
      </c>
      <c r="E246" s="2">
        <v>86.97</v>
      </c>
      <c r="F246" s="2">
        <v>86.97</v>
      </c>
      <c r="G246" s="3">
        <v>98514000</v>
      </c>
    </row>
    <row r="247" spans="1:7" x14ac:dyDescent="0.3">
      <c r="A247" s="1">
        <v>45674</v>
      </c>
      <c r="B247" s="2">
        <v>85.98</v>
      </c>
      <c r="C247" s="2">
        <v>86.5</v>
      </c>
      <c r="D247" s="2">
        <v>85.21</v>
      </c>
      <c r="E247" s="2">
        <v>85.81</v>
      </c>
      <c r="F247" s="2">
        <v>85.81</v>
      </c>
      <c r="G247" s="3">
        <v>36176000</v>
      </c>
    </row>
    <row r="248" spans="1:7" x14ac:dyDescent="0.3">
      <c r="A248" s="1">
        <v>45673</v>
      </c>
      <c r="B248" s="2">
        <v>86.1</v>
      </c>
      <c r="C248" s="2">
        <v>86.9</v>
      </c>
      <c r="D248" s="2">
        <v>84.2</v>
      </c>
      <c r="E248" s="2">
        <v>84.24</v>
      </c>
      <c r="F248" s="2">
        <v>84.24</v>
      </c>
      <c r="G248" s="3">
        <v>40285000</v>
      </c>
    </row>
    <row r="249" spans="1:7" x14ac:dyDescent="0.3">
      <c r="A249" s="1">
        <v>45672</v>
      </c>
      <c r="B249" s="2">
        <v>83.64</v>
      </c>
      <c r="C249" s="2">
        <v>85.08</v>
      </c>
      <c r="D249" s="2">
        <v>83.04</v>
      </c>
      <c r="E249" s="2">
        <v>84.83</v>
      </c>
      <c r="F249" s="2">
        <v>84.83</v>
      </c>
      <c r="G249" s="3">
        <v>31814000</v>
      </c>
    </row>
    <row r="250" spans="1:7" x14ac:dyDescent="0.3">
      <c r="A250" s="1">
        <v>45671</v>
      </c>
      <c r="B250" s="2">
        <v>84.32</v>
      </c>
      <c r="C250" s="2">
        <v>84.49</v>
      </c>
      <c r="D250" s="2">
        <v>82.35</v>
      </c>
      <c r="E250" s="2">
        <v>82.84</v>
      </c>
      <c r="F250" s="2">
        <v>82.84</v>
      </c>
      <c r="G250" s="3">
        <v>30377000</v>
      </c>
    </row>
    <row r="251" spans="1:7" x14ac:dyDescent="0.3">
      <c r="A251" s="1">
        <v>45670</v>
      </c>
      <c r="B251" s="2">
        <v>83.15</v>
      </c>
      <c r="C251" s="2">
        <v>84.71</v>
      </c>
      <c r="D251" s="2">
        <v>82.91</v>
      </c>
      <c r="E251" s="2">
        <v>84.03</v>
      </c>
      <c r="F251" s="2">
        <v>84.03</v>
      </c>
      <c r="G251" s="3">
        <v>30245000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52"/>
  <sheetViews>
    <sheetView topLeftCell="A230" workbookViewId="0">
      <selection activeCell="A252" sqref="A252"/>
    </sheetView>
  </sheetViews>
  <sheetFormatPr defaultRowHeight="14.4" x14ac:dyDescent="0.3"/>
  <cols>
    <col min="1" max="1" width="13.44140625" customWidth="1"/>
    <col min="6" max="6" width="11" customWidth="1"/>
    <col min="7" max="7" width="13.44140625" customWidth="1"/>
  </cols>
  <sheetData>
    <row r="1" spans="1:7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7" x14ac:dyDescent="0.3">
      <c r="A2" s="1">
        <v>46031</v>
      </c>
      <c r="B2" s="2">
        <v>352.16</v>
      </c>
      <c r="C2" s="2">
        <v>354.7</v>
      </c>
      <c r="D2" s="2">
        <v>349.16</v>
      </c>
      <c r="E2" s="2">
        <v>349.77</v>
      </c>
      <c r="F2" s="2">
        <v>349.77</v>
      </c>
      <c r="G2" s="3">
        <v>4902900</v>
      </c>
    </row>
    <row r="3" spans="1:7" x14ac:dyDescent="0.3">
      <c r="A3" s="1">
        <v>46030</v>
      </c>
      <c r="B3" s="2">
        <v>355</v>
      </c>
      <c r="C3" s="2">
        <v>356.35</v>
      </c>
      <c r="D3" s="2">
        <v>349.5</v>
      </c>
      <c r="E3" s="2">
        <v>352.23</v>
      </c>
      <c r="F3" s="2">
        <v>352.23</v>
      </c>
      <c r="G3" s="3">
        <v>6357600</v>
      </c>
    </row>
    <row r="4" spans="1:7" x14ac:dyDescent="0.3">
      <c r="A4" s="1">
        <v>46029</v>
      </c>
      <c r="B4" s="2">
        <v>357.15</v>
      </c>
      <c r="C4" s="2">
        <v>358.28</v>
      </c>
      <c r="D4" s="2">
        <v>354.51</v>
      </c>
      <c r="E4" s="2">
        <v>355.88</v>
      </c>
      <c r="F4" s="2">
        <v>355.88</v>
      </c>
      <c r="G4" s="3">
        <v>6333900</v>
      </c>
    </row>
    <row r="5" spans="1:7" x14ac:dyDescent="0.3">
      <c r="A5" s="1">
        <v>46028</v>
      </c>
      <c r="B5" s="2">
        <v>353.68</v>
      </c>
      <c r="C5" s="2">
        <v>358.62</v>
      </c>
      <c r="D5" s="2">
        <v>352</v>
      </c>
      <c r="E5" s="2">
        <v>357.56</v>
      </c>
      <c r="F5" s="2">
        <v>357.56</v>
      </c>
      <c r="G5" s="3">
        <v>6775400</v>
      </c>
    </row>
    <row r="6" spans="1:7" x14ac:dyDescent="0.3">
      <c r="A6" s="1">
        <v>46027</v>
      </c>
      <c r="B6" s="2">
        <v>344.5</v>
      </c>
      <c r="C6" s="2">
        <v>357.54</v>
      </c>
      <c r="D6" s="2">
        <v>344.05</v>
      </c>
      <c r="E6" s="2">
        <v>353.8</v>
      </c>
      <c r="F6" s="2">
        <v>353.8</v>
      </c>
      <c r="G6" s="3">
        <v>7592200</v>
      </c>
    </row>
    <row r="7" spans="1:7" x14ac:dyDescent="0.3">
      <c r="A7" s="1">
        <v>46024</v>
      </c>
      <c r="B7" s="2">
        <v>349.87</v>
      </c>
      <c r="C7" s="2">
        <v>350.05</v>
      </c>
      <c r="D7" s="2">
        <v>343.48</v>
      </c>
      <c r="E7" s="2">
        <v>346.48</v>
      </c>
      <c r="F7" s="2">
        <v>346.48</v>
      </c>
      <c r="G7" s="3">
        <v>5403800</v>
      </c>
    </row>
    <row r="8" spans="1:7" x14ac:dyDescent="0.3">
      <c r="A8" s="1">
        <v>46022</v>
      </c>
      <c r="B8" s="2">
        <v>353.65</v>
      </c>
      <c r="C8" s="2">
        <v>355.2</v>
      </c>
      <c r="D8" s="2">
        <v>350.69</v>
      </c>
      <c r="E8" s="2">
        <v>350.71</v>
      </c>
      <c r="F8" s="2">
        <v>350.71</v>
      </c>
      <c r="G8" s="3">
        <v>3503200</v>
      </c>
    </row>
    <row r="9" spans="1:7" x14ac:dyDescent="0.3">
      <c r="A9" s="1">
        <v>46021</v>
      </c>
      <c r="B9" s="2">
        <v>354</v>
      </c>
      <c r="C9" s="2">
        <v>354.87</v>
      </c>
      <c r="D9" s="2">
        <v>352.66</v>
      </c>
      <c r="E9" s="2">
        <v>353.62</v>
      </c>
      <c r="F9" s="2">
        <v>353.62</v>
      </c>
      <c r="G9" s="3">
        <v>3366500</v>
      </c>
    </row>
    <row r="10" spans="1:7" x14ac:dyDescent="0.3">
      <c r="A10" s="1">
        <v>46020</v>
      </c>
      <c r="B10" s="2">
        <v>355.49</v>
      </c>
      <c r="C10" s="2">
        <v>356.55</v>
      </c>
      <c r="D10" s="2">
        <v>353.8</v>
      </c>
      <c r="E10" s="2">
        <v>354.61</v>
      </c>
      <c r="F10" s="2">
        <v>354.61</v>
      </c>
      <c r="G10" s="3">
        <v>3989900</v>
      </c>
    </row>
    <row r="11" spans="1:7" x14ac:dyDescent="0.3">
      <c r="A11" s="1">
        <v>46017</v>
      </c>
      <c r="B11" s="2">
        <v>355.1</v>
      </c>
      <c r="C11" s="2">
        <v>356.73</v>
      </c>
      <c r="D11" s="2">
        <v>353.71</v>
      </c>
      <c r="E11" s="2">
        <v>355</v>
      </c>
      <c r="F11" s="2">
        <v>355</v>
      </c>
      <c r="G11" s="3">
        <v>2017000</v>
      </c>
    </row>
    <row r="12" spans="1:7" x14ac:dyDescent="0.3">
      <c r="A12" s="1">
        <v>46015</v>
      </c>
      <c r="B12" s="2">
        <v>353.38</v>
      </c>
      <c r="C12" s="2">
        <v>355.99</v>
      </c>
      <c r="D12" s="2">
        <v>353.01</v>
      </c>
      <c r="E12" s="2">
        <v>355.14</v>
      </c>
      <c r="F12" s="2">
        <v>355.14</v>
      </c>
      <c r="G12" s="3">
        <v>2023600</v>
      </c>
    </row>
    <row r="13" spans="1:7" x14ac:dyDescent="0.3">
      <c r="A13" s="1">
        <v>46014</v>
      </c>
      <c r="B13" s="2">
        <v>352</v>
      </c>
      <c r="C13" s="2">
        <v>356.38</v>
      </c>
      <c r="D13" s="2">
        <v>352</v>
      </c>
      <c r="E13" s="2">
        <v>353.38</v>
      </c>
      <c r="F13" s="2">
        <v>353.38</v>
      </c>
      <c r="G13" s="3">
        <v>3703200</v>
      </c>
    </row>
    <row r="14" spans="1:7" x14ac:dyDescent="0.3">
      <c r="A14" s="1">
        <v>46013</v>
      </c>
      <c r="B14" s="2">
        <v>350</v>
      </c>
      <c r="C14" s="2">
        <v>353.44</v>
      </c>
      <c r="D14" s="2">
        <v>349.59</v>
      </c>
      <c r="E14" s="2">
        <v>352.09</v>
      </c>
      <c r="F14" s="2">
        <v>352.09</v>
      </c>
      <c r="G14" s="3">
        <v>5043500</v>
      </c>
    </row>
    <row r="15" spans="1:7" x14ac:dyDescent="0.3">
      <c r="A15" s="1">
        <v>46010</v>
      </c>
      <c r="B15" s="2">
        <v>346.05</v>
      </c>
      <c r="C15" s="2">
        <v>349.91</v>
      </c>
      <c r="D15" s="2">
        <v>346.05</v>
      </c>
      <c r="E15" s="2">
        <v>349.25</v>
      </c>
      <c r="F15" s="2">
        <v>349.25</v>
      </c>
      <c r="G15" s="3">
        <v>18623900</v>
      </c>
    </row>
    <row r="16" spans="1:7" x14ac:dyDescent="0.3">
      <c r="A16" s="1">
        <v>46009</v>
      </c>
      <c r="B16" s="2">
        <v>345.17</v>
      </c>
      <c r="C16" s="2">
        <v>347.53</v>
      </c>
      <c r="D16" s="2">
        <v>344.27</v>
      </c>
      <c r="E16" s="2">
        <v>346.01</v>
      </c>
      <c r="F16" s="2">
        <v>346.01</v>
      </c>
      <c r="G16" s="3">
        <v>6805000</v>
      </c>
    </row>
    <row r="17" spans="1:7" x14ac:dyDescent="0.3">
      <c r="A17" s="1">
        <v>46008</v>
      </c>
      <c r="B17" s="2">
        <v>345.55</v>
      </c>
      <c r="C17" s="2">
        <v>347.79</v>
      </c>
      <c r="D17" s="2">
        <v>343.68</v>
      </c>
      <c r="E17" s="2">
        <v>344.41</v>
      </c>
      <c r="F17" s="2">
        <v>344.41</v>
      </c>
      <c r="G17" s="3">
        <v>7263500</v>
      </c>
    </row>
    <row r="18" spans="1:7" x14ac:dyDescent="0.3">
      <c r="A18" s="1">
        <v>46007</v>
      </c>
      <c r="B18" s="2">
        <v>346</v>
      </c>
      <c r="C18" s="2">
        <v>347.62</v>
      </c>
      <c r="D18" s="2">
        <v>343.72</v>
      </c>
      <c r="E18" s="2">
        <v>345.11</v>
      </c>
      <c r="F18" s="2">
        <v>345.11</v>
      </c>
      <c r="G18" s="3">
        <v>7269300</v>
      </c>
    </row>
    <row r="19" spans="1:7" x14ac:dyDescent="0.3">
      <c r="A19" s="1">
        <v>46006</v>
      </c>
      <c r="B19" s="2">
        <v>347.83</v>
      </c>
      <c r="C19" s="2">
        <v>348.45</v>
      </c>
      <c r="D19" s="2">
        <v>343.83</v>
      </c>
      <c r="E19" s="2">
        <v>346.89</v>
      </c>
      <c r="F19" s="2">
        <v>346.89</v>
      </c>
      <c r="G19" s="3">
        <v>7004600</v>
      </c>
    </row>
    <row r="20" spans="1:7" x14ac:dyDescent="0.3">
      <c r="A20" s="1">
        <v>46003</v>
      </c>
      <c r="B20" s="2">
        <v>348</v>
      </c>
      <c r="C20" s="2">
        <v>349.84</v>
      </c>
      <c r="D20" s="2">
        <v>345.97</v>
      </c>
      <c r="E20" s="2">
        <v>347.83</v>
      </c>
      <c r="F20" s="2">
        <v>347.83</v>
      </c>
      <c r="G20" s="3">
        <v>6942300</v>
      </c>
    </row>
    <row r="21" spans="1:7" x14ac:dyDescent="0.3">
      <c r="A21" s="1">
        <v>46002</v>
      </c>
      <c r="B21" s="2">
        <v>332.6</v>
      </c>
      <c r="C21" s="2">
        <v>347.32</v>
      </c>
      <c r="D21" s="2">
        <v>330.06</v>
      </c>
      <c r="E21" s="2">
        <v>345.63</v>
      </c>
      <c r="F21" s="2">
        <v>345.63</v>
      </c>
      <c r="G21" s="3">
        <v>12953600</v>
      </c>
    </row>
    <row r="22" spans="1:7" x14ac:dyDescent="0.3">
      <c r="A22" s="1">
        <v>46001</v>
      </c>
      <c r="B22" s="2">
        <v>326.64</v>
      </c>
      <c r="C22" s="2">
        <v>328.76</v>
      </c>
      <c r="D22" s="2">
        <v>325.3</v>
      </c>
      <c r="E22" s="2">
        <v>325.73</v>
      </c>
      <c r="F22" s="2">
        <v>325.73</v>
      </c>
      <c r="G22" s="3">
        <v>5467500</v>
      </c>
    </row>
    <row r="23" spans="1:7" x14ac:dyDescent="0.3">
      <c r="A23" s="1">
        <v>46000</v>
      </c>
      <c r="B23" s="2">
        <v>326.61</v>
      </c>
      <c r="C23" s="2">
        <v>328.23</v>
      </c>
      <c r="D23" s="2">
        <v>325.07</v>
      </c>
      <c r="E23" s="2">
        <v>326.5</v>
      </c>
      <c r="F23" s="2">
        <v>326.5</v>
      </c>
      <c r="G23" s="3">
        <v>4325400</v>
      </c>
    </row>
    <row r="24" spans="1:7" x14ac:dyDescent="0.3">
      <c r="A24" s="1">
        <v>45999</v>
      </c>
      <c r="B24" s="2">
        <v>329.88</v>
      </c>
      <c r="C24" s="2">
        <v>331.34</v>
      </c>
      <c r="D24" s="2">
        <v>324.70999999999998</v>
      </c>
      <c r="E24" s="2">
        <v>326.83999999999997</v>
      </c>
      <c r="F24" s="2">
        <v>326.83999999999997</v>
      </c>
      <c r="G24" s="3">
        <v>6059400</v>
      </c>
    </row>
    <row r="25" spans="1:7" x14ac:dyDescent="0.3">
      <c r="A25" s="1">
        <v>45996</v>
      </c>
      <c r="B25" s="2">
        <v>326.83</v>
      </c>
      <c r="C25" s="2">
        <v>334.11</v>
      </c>
      <c r="D25" s="2">
        <v>326.39999999999998</v>
      </c>
      <c r="E25" s="2">
        <v>331.24</v>
      </c>
      <c r="F25" s="2">
        <v>331.24</v>
      </c>
      <c r="G25" s="3">
        <v>5266600</v>
      </c>
    </row>
    <row r="26" spans="1:7" x14ac:dyDescent="0.3">
      <c r="A26" s="1">
        <v>45995</v>
      </c>
      <c r="B26" s="2">
        <v>331.28</v>
      </c>
      <c r="C26" s="2">
        <v>332.38</v>
      </c>
      <c r="D26" s="2">
        <v>324.27999999999997</v>
      </c>
      <c r="E26" s="2">
        <v>327.10000000000002</v>
      </c>
      <c r="F26" s="2">
        <v>327.10000000000002</v>
      </c>
      <c r="G26" s="3">
        <v>6277500</v>
      </c>
    </row>
    <row r="27" spans="1:7" x14ac:dyDescent="0.3">
      <c r="A27" s="1">
        <v>45994</v>
      </c>
      <c r="B27" s="2">
        <v>329.61</v>
      </c>
      <c r="C27" s="2">
        <v>332.35</v>
      </c>
      <c r="D27" s="2">
        <v>329.35</v>
      </c>
      <c r="E27" s="2">
        <v>329.61</v>
      </c>
      <c r="F27" s="2">
        <v>329.61</v>
      </c>
      <c r="G27" s="3">
        <v>6296700</v>
      </c>
    </row>
    <row r="28" spans="1:7" x14ac:dyDescent="0.3">
      <c r="A28" s="1">
        <v>45993</v>
      </c>
      <c r="B28" s="2">
        <v>331.45</v>
      </c>
      <c r="C28" s="2">
        <v>332.8</v>
      </c>
      <c r="D28" s="2">
        <v>327.20999999999998</v>
      </c>
      <c r="E28" s="2">
        <v>329.62</v>
      </c>
      <c r="F28" s="2">
        <v>329.62</v>
      </c>
      <c r="G28" s="3">
        <v>8201900</v>
      </c>
    </row>
    <row r="29" spans="1:7" x14ac:dyDescent="0.3">
      <c r="A29" s="1">
        <v>45992</v>
      </c>
      <c r="B29" s="2">
        <v>332.94</v>
      </c>
      <c r="C29" s="2">
        <v>333.3</v>
      </c>
      <c r="D29" s="2">
        <v>330.14</v>
      </c>
      <c r="E29" s="2">
        <v>330.39</v>
      </c>
      <c r="F29" s="2">
        <v>330.39</v>
      </c>
      <c r="G29" s="3">
        <v>7082300</v>
      </c>
    </row>
    <row r="30" spans="1:7" x14ac:dyDescent="0.3">
      <c r="A30" s="1">
        <v>45989</v>
      </c>
      <c r="B30" s="2">
        <v>333.43</v>
      </c>
      <c r="C30" s="2">
        <v>335.02</v>
      </c>
      <c r="D30" s="2">
        <v>332</v>
      </c>
      <c r="E30" s="2">
        <v>334.44</v>
      </c>
      <c r="F30" s="2">
        <v>334.44</v>
      </c>
      <c r="G30" s="3">
        <v>4586200</v>
      </c>
    </row>
    <row r="31" spans="1:7" x14ac:dyDescent="0.3">
      <c r="A31" s="1">
        <v>45987</v>
      </c>
      <c r="B31" s="2">
        <v>334.53</v>
      </c>
      <c r="C31" s="2">
        <v>335.71</v>
      </c>
      <c r="D31" s="2">
        <v>333.06</v>
      </c>
      <c r="E31" s="2">
        <v>333.79</v>
      </c>
      <c r="F31" s="2">
        <v>333.79</v>
      </c>
      <c r="G31" s="3">
        <v>4309900</v>
      </c>
    </row>
    <row r="32" spans="1:7" x14ac:dyDescent="0.3">
      <c r="A32" s="1">
        <v>45986</v>
      </c>
      <c r="B32" s="2">
        <v>328.9</v>
      </c>
      <c r="C32" s="2">
        <v>336.06</v>
      </c>
      <c r="D32" s="2">
        <v>328.9</v>
      </c>
      <c r="E32" s="2">
        <v>334.53</v>
      </c>
      <c r="F32" s="2">
        <v>334.53</v>
      </c>
      <c r="G32" s="3">
        <v>5854300</v>
      </c>
    </row>
    <row r="33" spans="1:7" x14ac:dyDescent="0.3">
      <c r="A33" s="1">
        <v>45985</v>
      </c>
      <c r="B33" s="2">
        <v>329.24</v>
      </c>
      <c r="C33" s="2">
        <v>330.73</v>
      </c>
      <c r="D33" s="2">
        <v>326</v>
      </c>
      <c r="E33" s="2">
        <v>329.3</v>
      </c>
      <c r="F33" s="2">
        <v>329.3</v>
      </c>
      <c r="G33" s="3">
        <v>9337100</v>
      </c>
    </row>
    <row r="34" spans="1:7" x14ac:dyDescent="0.3">
      <c r="A34" s="1">
        <v>45982</v>
      </c>
      <c r="B34" s="2">
        <v>325.38</v>
      </c>
      <c r="C34" s="2">
        <v>331.08</v>
      </c>
      <c r="D34" s="2">
        <v>324.29000000000002</v>
      </c>
      <c r="E34" s="2">
        <v>327.98</v>
      </c>
      <c r="F34" s="2">
        <v>327.98</v>
      </c>
      <c r="G34" s="3">
        <v>8930000</v>
      </c>
    </row>
    <row r="35" spans="1:7" x14ac:dyDescent="0.3">
      <c r="A35" s="1">
        <v>45981</v>
      </c>
      <c r="B35" s="2">
        <v>324.12</v>
      </c>
      <c r="C35" s="2">
        <v>328.4</v>
      </c>
      <c r="D35" s="2">
        <v>323.14</v>
      </c>
      <c r="E35" s="2">
        <v>323.77</v>
      </c>
      <c r="F35" s="2">
        <v>323.77</v>
      </c>
      <c r="G35" s="3">
        <v>6510300</v>
      </c>
    </row>
    <row r="36" spans="1:7" x14ac:dyDescent="0.3">
      <c r="A36" s="1">
        <v>45980</v>
      </c>
      <c r="B36" s="2">
        <v>321.52</v>
      </c>
      <c r="C36" s="2">
        <v>324.57</v>
      </c>
      <c r="D36" s="2">
        <v>319.87</v>
      </c>
      <c r="E36" s="2">
        <v>324.12</v>
      </c>
      <c r="F36" s="2">
        <v>324.12</v>
      </c>
      <c r="G36" s="3">
        <v>7066700</v>
      </c>
    </row>
    <row r="37" spans="1:7" x14ac:dyDescent="0.3">
      <c r="A37" s="1">
        <v>45979</v>
      </c>
      <c r="B37" s="2">
        <v>324.5</v>
      </c>
      <c r="C37" s="2">
        <v>325</v>
      </c>
      <c r="D37" s="2">
        <v>318</v>
      </c>
      <c r="E37" s="2">
        <v>321.18</v>
      </c>
      <c r="F37" s="2">
        <v>321.18</v>
      </c>
      <c r="G37" s="3">
        <v>9170400</v>
      </c>
    </row>
    <row r="38" spans="1:7" x14ac:dyDescent="0.3">
      <c r="A38" s="1">
        <v>45978</v>
      </c>
      <c r="B38" s="2">
        <v>331.16</v>
      </c>
      <c r="C38" s="2">
        <v>333.36</v>
      </c>
      <c r="D38" s="2">
        <v>324.93</v>
      </c>
      <c r="E38" s="2">
        <v>325.75</v>
      </c>
      <c r="F38" s="2">
        <v>325.75</v>
      </c>
      <c r="G38" s="3">
        <v>6494800</v>
      </c>
    </row>
    <row r="39" spans="1:7" x14ac:dyDescent="0.3">
      <c r="A39" s="1">
        <v>45975</v>
      </c>
      <c r="B39" s="2">
        <v>335.89</v>
      </c>
      <c r="C39" s="2">
        <v>336.08</v>
      </c>
      <c r="D39" s="2">
        <v>329.03</v>
      </c>
      <c r="E39" s="2">
        <v>330.02</v>
      </c>
      <c r="F39" s="2">
        <v>330.02</v>
      </c>
      <c r="G39" s="3">
        <v>6422300</v>
      </c>
    </row>
    <row r="40" spans="1:7" x14ac:dyDescent="0.3">
      <c r="A40" s="1">
        <v>45974</v>
      </c>
      <c r="B40" s="2">
        <v>339.04</v>
      </c>
      <c r="C40" s="2">
        <v>341.46</v>
      </c>
      <c r="D40" s="2">
        <v>335.6</v>
      </c>
      <c r="E40" s="2">
        <v>336.08</v>
      </c>
      <c r="F40" s="2">
        <v>336.08</v>
      </c>
      <c r="G40" s="3">
        <v>4961700</v>
      </c>
    </row>
    <row r="41" spans="1:7" x14ac:dyDescent="0.3">
      <c r="A41" s="1">
        <v>45973</v>
      </c>
      <c r="B41" s="2">
        <v>338.25</v>
      </c>
      <c r="C41" s="2">
        <v>344.26</v>
      </c>
      <c r="D41" s="2">
        <v>337.4</v>
      </c>
      <c r="E41" s="2">
        <v>338.88</v>
      </c>
      <c r="F41" s="2">
        <v>338.88</v>
      </c>
      <c r="G41" s="3">
        <v>6389600</v>
      </c>
    </row>
    <row r="42" spans="1:7" x14ac:dyDescent="0.3">
      <c r="A42" s="1">
        <v>45972</v>
      </c>
      <c r="B42" s="2">
        <v>335.5</v>
      </c>
      <c r="C42" s="2">
        <v>339.09</v>
      </c>
      <c r="D42" s="2">
        <v>333.2</v>
      </c>
      <c r="E42" s="2">
        <v>338.92</v>
      </c>
      <c r="F42" s="2">
        <v>338.25</v>
      </c>
      <c r="G42" s="3">
        <v>4453300</v>
      </c>
    </row>
    <row r="43" spans="1:7" x14ac:dyDescent="0.3">
      <c r="A43" s="1">
        <v>45971</v>
      </c>
      <c r="B43" s="2">
        <v>336.65</v>
      </c>
      <c r="C43" s="2">
        <v>338.68</v>
      </c>
      <c r="D43" s="2">
        <v>334.32</v>
      </c>
      <c r="E43" s="2">
        <v>334.85</v>
      </c>
      <c r="F43" s="2">
        <v>334.19</v>
      </c>
      <c r="G43" s="3">
        <v>5295800</v>
      </c>
    </row>
    <row r="44" spans="1:7" x14ac:dyDescent="0.3">
      <c r="A44" s="1">
        <v>45968</v>
      </c>
      <c r="B44" s="2">
        <v>336.73</v>
      </c>
      <c r="C44" s="2">
        <v>338.29</v>
      </c>
      <c r="D44" s="2">
        <v>334.85</v>
      </c>
      <c r="E44" s="2">
        <v>336.02</v>
      </c>
      <c r="F44" s="2">
        <v>335.36</v>
      </c>
      <c r="G44" s="3">
        <v>5318400</v>
      </c>
    </row>
    <row r="45" spans="1:7" x14ac:dyDescent="0.3">
      <c r="A45" s="1">
        <v>45967</v>
      </c>
      <c r="B45" s="2">
        <v>338.59</v>
      </c>
      <c r="C45" s="2">
        <v>338.65</v>
      </c>
      <c r="D45" s="2">
        <v>333.71</v>
      </c>
      <c r="E45" s="2">
        <v>336.96</v>
      </c>
      <c r="F45" s="2">
        <v>336.29</v>
      </c>
      <c r="G45" s="3">
        <v>8507900</v>
      </c>
    </row>
    <row r="46" spans="1:7" x14ac:dyDescent="0.3">
      <c r="A46" s="1">
        <v>45966</v>
      </c>
      <c r="B46" s="2">
        <v>340.13</v>
      </c>
      <c r="C46" s="2">
        <v>342.11</v>
      </c>
      <c r="D46" s="2">
        <v>336.36</v>
      </c>
      <c r="E46" s="2">
        <v>340.04</v>
      </c>
      <c r="F46" s="2">
        <v>339.37</v>
      </c>
      <c r="G46" s="3">
        <v>4984600</v>
      </c>
    </row>
    <row r="47" spans="1:7" x14ac:dyDescent="0.3">
      <c r="A47" s="1">
        <v>45965</v>
      </c>
      <c r="B47" s="2">
        <v>336.48</v>
      </c>
      <c r="C47" s="2">
        <v>340.32</v>
      </c>
      <c r="D47" s="2">
        <v>334.25</v>
      </c>
      <c r="E47" s="2">
        <v>340.3</v>
      </c>
      <c r="F47" s="2">
        <v>339.63</v>
      </c>
      <c r="G47" s="3">
        <v>5920200</v>
      </c>
    </row>
    <row r="48" spans="1:7" x14ac:dyDescent="0.3">
      <c r="A48" s="1">
        <v>45964</v>
      </c>
      <c r="B48" s="2">
        <v>341</v>
      </c>
      <c r="C48" s="2">
        <v>341.21</v>
      </c>
      <c r="D48" s="2">
        <v>334.82</v>
      </c>
      <c r="E48" s="2">
        <v>336.9</v>
      </c>
      <c r="F48" s="2">
        <v>336.23</v>
      </c>
      <c r="G48" s="3">
        <v>5538000</v>
      </c>
    </row>
    <row r="49" spans="1:7" x14ac:dyDescent="0.3">
      <c r="A49" s="1">
        <v>45961</v>
      </c>
      <c r="B49" s="2">
        <v>342.08</v>
      </c>
      <c r="C49" s="2">
        <v>343</v>
      </c>
      <c r="D49" s="2">
        <v>338.17</v>
      </c>
      <c r="E49" s="2">
        <v>340.74</v>
      </c>
      <c r="F49" s="2">
        <v>340.07</v>
      </c>
      <c r="G49" s="3">
        <v>7301600</v>
      </c>
    </row>
    <row r="50" spans="1:7" x14ac:dyDescent="0.3">
      <c r="A50" s="1">
        <v>45960</v>
      </c>
      <c r="B50" s="2">
        <v>342.22</v>
      </c>
      <c r="C50" s="2">
        <v>349.72</v>
      </c>
      <c r="D50" s="2">
        <v>341.79</v>
      </c>
      <c r="E50" s="2">
        <v>345.03</v>
      </c>
      <c r="F50" s="2">
        <v>344.35</v>
      </c>
      <c r="G50" s="3">
        <v>6411800</v>
      </c>
    </row>
    <row r="51" spans="1:7" x14ac:dyDescent="0.3">
      <c r="A51" s="1">
        <v>45959</v>
      </c>
      <c r="B51" s="2">
        <v>346</v>
      </c>
      <c r="C51" s="2">
        <v>350.98</v>
      </c>
      <c r="D51" s="2">
        <v>339</v>
      </c>
      <c r="E51" s="2">
        <v>341.28</v>
      </c>
      <c r="F51" s="2">
        <v>340.61</v>
      </c>
      <c r="G51" s="3">
        <v>8361700</v>
      </c>
    </row>
    <row r="52" spans="1:7" x14ac:dyDescent="0.3">
      <c r="A52" s="1">
        <v>45958</v>
      </c>
      <c r="B52" s="2">
        <v>348.58</v>
      </c>
      <c r="C52" s="2">
        <v>349.89</v>
      </c>
      <c r="D52" s="2">
        <v>346.5</v>
      </c>
      <c r="E52" s="2">
        <v>346.9</v>
      </c>
      <c r="F52" s="2">
        <v>346.21</v>
      </c>
      <c r="G52" s="3">
        <v>7445400</v>
      </c>
    </row>
    <row r="53" spans="1:7" x14ac:dyDescent="0.3">
      <c r="A53" s="1">
        <v>45957</v>
      </c>
      <c r="B53" s="2">
        <v>349</v>
      </c>
      <c r="C53" s="2">
        <v>349.52</v>
      </c>
      <c r="D53" s="2">
        <v>345.01</v>
      </c>
      <c r="E53" s="2">
        <v>347.82</v>
      </c>
      <c r="F53" s="2">
        <v>347.13</v>
      </c>
      <c r="G53" s="3">
        <v>5400300</v>
      </c>
    </row>
    <row r="54" spans="1:7" x14ac:dyDescent="0.3">
      <c r="A54" s="1">
        <v>45954</v>
      </c>
      <c r="B54" s="2">
        <v>348.2</v>
      </c>
      <c r="C54" s="2">
        <v>349.08</v>
      </c>
      <c r="D54" s="2">
        <v>345.32</v>
      </c>
      <c r="E54" s="2">
        <v>347.38</v>
      </c>
      <c r="F54" s="2">
        <v>346.69</v>
      </c>
      <c r="G54" s="3">
        <v>5376700</v>
      </c>
    </row>
    <row r="55" spans="1:7" x14ac:dyDescent="0.3">
      <c r="A55" s="1">
        <v>45953</v>
      </c>
      <c r="B55" s="2">
        <v>346.2</v>
      </c>
      <c r="C55" s="2">
        <v>347.15</v>
      </c>
      <c r="D55" s="2">
        <v>344.46</v>
      </c>
      <c r="E55" s="2">
        <v>345.96</v>
      </c>
      <c r="F55" s="2">
        <v>345.28</v>
      </c>
      <c r="G55" s="3">
        <v>7217200</v>
      </c>
    </row>
    <row r="56" spans="1:7" x14ac:dyDescent="0.3">
      <c r="A56" s="1">
        <v>45952</v>
      </c>
      <c r="B56" s="2">
        <v>347.82</v>
      </c>
      <c r="C56" s="2">
        <v>348.17</v>
      </c>
      <c r="D56" s="2">
        <v>344.5</v>
      </c>
      <c r="E56" s="2">
        <v>345.36</v>
      </c>
      <c r="F56" s="2">
        <v>344.68</v>
      </c>
      <c r="G56" s="3">
        <v>5074400</v>
      </c>
    </row>
    <row r="57" spans="1:7" x14ac:dyDescent="0.3">
      <c r="A57" s="1">
        <v>45951</v>
      </c>
      <c r="B57" s="2">
        <v>343.12</v>
      </c>
      <c r="C57" s="2">
        <v>349.65</v>
      </c>
      <c r="D57" s="2">
        <v>343</v>
      </c>
      <c r="E57" s="2">
        <v>347.21</v>
      </c>
      <c r="F57" s="2">
        <v>346.52</v>
      </c>
      <c r="G57" s="3">
        <v>4121800</v>
      </c>
    </row>
    <row r="58" spans="1:7" x14ac:dyDescent="0.3">
      <c r="A58" s="1">
        <v>45950</v>
      </c>
      <c r="B58" s="2">
        <v>341.9</v>
      </c>
      <c r="C58" s="2">
        <v>344.96</v>
      </c>
      <c r="D58" s="2">
        <v>338.94</v>
      </c>
      <c r="E58" s="2">
        <v>344.41</v>
      </c>
      <c r="F58" s="2">
        <v>343.73</v>
      </c>
      <c r="G58" s="3">
        <v>4665000</v>
      </c>
    </row>
    <row r="59" spans="1:7" x14ac:dyDescent="0.3">
      <c r="A59" s="1">
        <v>45947</v>
      </c>
      <c r="B59" s="2">
        <v>337.77</v>
      </c>
      <c r="C59" s="2">
        <v>343.45</v>
      </c>
      <c r="D59" s="2">
        <v>337</v>
      </c>
      <c r="E59" s="2">
        <v>341.89</v>
      </c>
      <c r="F59" s="2">
        <v>341.21</v>
      </c>
      <c r="G59" s="3">
        <v>6267100</v>
      </c>
    </row>
    <row r="60" spans="1:7" x14ac:dyDescent="0.3">
      <c r="A60" s="1">
        <v>45946</v>
      </c>
      <c r="B60" s="2">
        <v>345</v>
      </c>
      <c r="C60" s="2">
        <v>345.69</v>
      </c>
      <c r="D60" s="2">
        <v>334.17</v>
      </c>
      <c r="E60" s="2">
        <v>335.4</v>
      </c>
      <c r="F60" s="2">
        <v>334.74</v>
      </c>
      <c r="G60" s="3">
        <v>6241500</v>
      </c>
    </row>
    <row r="61" spans="1:7" x14ac:dyDescent="0.3">
      <c r="A61" s="1">
        <v>45945</v>
      </c>
      <c r="B61" s="2">
        <v>348.38</v>
      </c>
      <c r="C61" s="2">
        <v>350.08</v>
      </c>
      <c r="D61" s="2">
        <v>344</v>
      </c>
      <c r="E61" s="2">
        <v>345.69</v>
      </c>
      <c r="F61" s="2">
        <v>345.01</v>
      </c>
      <c r="G61" s="3">
        <v>3778200</v>
      </c>
    </row>
    <row r="62" spans="1:7" x14ac:dyDescent="0.3">
      <c r="A62" s="1">
        <v>45944</v>
      </c>
      <c r="B62" s="2">
        <v>341</v>
      </c>
      <c r="C62" s="2">
        <v>350.01</v>
      </c>
      <c r="D62" s="2">
        <v>340.22</v>
      </c>
      <c r="E62" s="2">
        <v>348.38</v>
      </c>
      <c r="F62" s="2">
        <v>347.69</v>
      </c>
      <c r="G62" s="3">
        <v>5731000</v>
      </c>
    </row>
    <row r="63" spans="1:7" x14ac:dyDescent="0.3">
      <c r="A63" s="1">
        <v>45943</v>
      </c>
      <c r="B63" s="2">
        <v>343.72</v>
      </c>
      <c r="C63" s="2">
        <v>347.66</v>
      </c>
      <c r="D63" s="2">
        <v>340.73</v>
      </c>
      <c r="E63" s="2">
        <v>343.3</v>
      </c>
      <c r="F63" s="2">
        <v>342.62</v>
      </c>
      <c r="G63" s="3">
        <v>4030700</v>
      </c>
    </row>
    <row r="64" spans="1:7" x14ac:dyDescent="0.3">
      <c r="A64" s="1">
        <v>45940</v>
      </c>
      <c r="B64" s="2">
        <v>347.63</v>
      </c>
      <c r="C64" s="2">
        <v>350.4</v>
      </c>
      <c r="D64" s="2">
        <v>343.25</v>
      </c>
      <c r="E64" s="2">
        <v>343.65</v>
      </c>
      <c r="F64" s="2">
        <v>342.97</v>
      </c>
      <c r="G64" s="3">
        <v>6296200</v>
      </c>
    </row>
    <row r="65" spans="1:7" x14ac:dyDescent="0.3">
      <c r="A65" s="1">
        <v>45939</v>
      </c>
      <c r="B65" s="2">
        <v>351.47</v>
      </c>
      <c r="C65" s="2">
        <v>352.87</v>
      </c>
      <c r="D65" s="2">
        <v>345.58</v>
      </c>
      <c r="E65" s="2">
        <v>347.04</v>
      </c>
      <c r="F65" s="2">
        <v>346.35</v>
      </c>
      <c r="G65" s="3">
        <v>4434800</v>
      </c>
    </row>
    <row r="66" spans="1:7" x14ac:dyDescent="0.3">
      <c r="A66" s="1">
        <v>45938</v>
      </c>
      <c r="B66" s="2">
        <v>353.78</v>
      </c>
      <c r="C66" s="2">
        <v>355</v>
      </c>
      <c r="D66" s="2">
        <v>351.1</v>
      </c>
      <c r="E66" s="2">
        <v>351.36</v>
      </c>
      <c r="F66" s="2">
        <v>350.67</v>
      </c>
      <c r="G66" s="3">
        <v>3927500</v>
      </c>
    </row>
    <row r="67" spans="1:7" x14ac:dyDescent="0.3">
      <c r="A67" s="1">
        <v>45937</v>
      </c>
      <c r="B67" s="2">
        <v>350.06</v>
      </c>
      <c r="C67" s="2">
        <v>354.44</v>
      </c>
      <c r="D67" s="2">
        <v>350.06</v>
      </c>
      <c r="E67" s="2">
        <v>352.42</v>
      </c>
      <c r="F67" s="2">
        <v>351.72</v>
      </c>
      <c r="G67" s="3">
        <v>5044600</v>
      </c>
    </row>
    <row r="68" spans="1:7" x14ac:dyDescent="0.3">
      <c r="A68" s="1">
        <v>45936</v>
      </c>
      <c r="B68" s="2">
        <v>350.01</v>
      </c>
      <c r="C68" s="2">
        <v>351.12</v>
      </c>
      <c r="D68" s="2">
        <v>344.35</v>
      </c>
      <c r="E68" s="2">
        <v>349.28</v>
      </c>
      <c r="F68" s="2">
        <v>348.59</v>
      </c>
      <c r="G68" s="3">
        <v>4735600</v>
      </c>
    </row>
    <row r="69" spans="1:7" x14ac:dyDescent="0.3">
      <c r="A69" s="1">
        <v>45933</v>
      </c>
      <c r="B69" s="2">
        <v>346.11</v>
      </c>
      <c r="C69" s="2">
        <v>353.16</v>
      </c>
      <c r="D69" s="2">
        <v>346</v>
      </c>
      <c r="E69" s="2">
        <v>349.84</v>
      </c>
      <c r="F69" s="2">
        <v>349.15</v>
      </c>
      <c r="G69" s="3">
        <v>5199700</v>
      </c>
    </row>
    <row r="70" spans="1:7" x14ac:dyDescent="0.3">
      <c r="A70" s="1">
        <v>45932</v>
      </c>
      <c r="B70" s="2">
        <v>346.22</v>
      </c>
      <c r="C70" s="2">
        <v>347.18</v>
      </c>
      <c r="D70" s="2">
        <v>343.56</v>
      </c>
      <c r="E70" s="2">
        <v>345.95</v>
      </c>
      <c r="F70" s="2">
        <v>345.27</v>
      </c>
      <c r="G70" s="3">
        <v>5198000</v>
      </c>
    </row>
    <row r="71" spans="1:7" x14ac:dyDescent="0.3">
      <c r="A71" s="1">
        <v>45931</v>
      </c>
      <c r="B71" s="2">
        <v>340.31</v>
      </c>
      <c r="C71" s="2">
        <v>349.36</v>
      </c>
      <c r="D71" s="2">
        <v>340.31</v>
      </c>
      <c r="E71" s="2">
        <v>347.83</v>
      </c>
      <c r="F71" s="2">
        <v>347.14</v>
      </c>
      <c r="G71" s="3">
        <v>8381000</v>
      </c>
    </row>
    <row r="72" spans="1:7" x14ac:dyDescent="0.3">
      <c r="A72" s="1">
        <v>45930</v>
      </c>
      <c r="B72" s="2">
        <v>339.82</v>
      </c>
      <c r="C72" s="2">
        <v>345.61</v>
      </c>
      <c r="D72" s="2">
        <v>338.51</v>
      </c>
      <c r="E72" s="2">
        <v>341.38</v>
      </c>
      <c r="F72" s="2">
        <v>340.71</v>
      </c>
      <c r="G72" s="3">
        <v>8164400</v>
      </c>
    </row>
    <row r="73" spans="1:7" x14ac:dyDescent="0.3">
      <c r="A73" s="1">
        <v>45929</v>
      </c>
      <c r="B73" s="2">
        <v>337.38</v>
      </c>
      <c r="C73" s="2">
        <v>340.64</v>
      </c>
      <c r="D73" s="2">
        <v>335.55</v>
      </c>
      <c r="E73" s="2">
        <v>340.16</v>
      </c>
      <c r="F73" s="2">
        <v>339.49</v>
      </c>
      <c r="G73" s="3">
        <v>7217800</v>
      </c>
    </row>
    <row r="74" spans="1:7" x14ac:dyDescent="0.3">
      <c r="A74" s="1">
        <v>45926</v>
      </c>
      <c r="B74" s="2">
        <v>337.23</v>
      </c>
      <c r="C74" s="2">
        <v>339.5</v>
      </c>
      <c r="D74" s="2">
        <v>336.23</v>
      </c>
      <c r="E74" s="2">
        <v>337.37</v>
      </c>
      <c r="F74" s="2">
        <v>336.7</v>
      </c>
      <c r="G74" s="3">
        <v>9619200</v>
      </c>
    </row>
    <row r="75" spans="1:7" x14ac:dyDescent="0.3">
      <c r="A75" s="1">
        <v>45925</v>
      </c>
      <c r="B75" s="2">
        <v>338.35</v>
      </c>
      <c r="C75" s="2">
        <v>340.2</v>
      </c>
      <c r="D75" s="2">
        <v>334.51</v>
      </c>
      <c r="E75" s="2">
        <v>334.93</v>
      </c>
      <c r="F75" s="2">
        <v>334.27</v>
      </c>
      <c r="G75" s="3">
        <v>5398700</v>
      </c>
    </row>
    <row r="76" spans="1:7" x14ac:dyDescent="0.3">
      <c r="A76" s="1">
        <v>45924</v>
      </c>
      <c r="B76" s="2">
        <v>339.13</v>
      </c>
      <c r="C76" s="2">
        <v>339.9</v>
      </c>
      <c r="D76" s="2">
        <v>337.92</v>
      </c>
      <c r="E76" s="2">
        <v>338.68</v>
      </c>
      <c r="F76" s="2">
        <v>338.01</v>
      </c>
      <c r="G76" s="3">
        <v>5207400</v>
      </c>
    </row>
    <row r="77" spans="1:7" x14ac:dyDescent="0.3">
      <c r="A77" s="1">
        <v>45923</v>
      </c>
      <c r="B77" s="2">
        <v>344.59</v>
      </c>
      <c r="C77" s="2">
        <v>345.26</v>
      </c>
      <c r="D77" s="2">
        <v>337.63</v>
      </c>
      <c r="E77" s="2">
        <v>338.7</v>
      </c>
      <c r="F77" s="2">
        <v>338.03</v>
      </c>
      <c r="G77" s="3">
        <v>10142700</v>
      </c>
    </row>
    <row r="78" spans="1:7" x14ac:dyDescent="0.3">
      <c r="A78" s="1">
        <v>45922</v>
      </c>
      <c r="B78" s="2">
        <v>339.01</v>
      </c>
      <c r="C78" s="2">
        <v>344.86</v>
      </c>
      <c r="D78" s="2">
        <v>338.66</v>
      </c>
      <c r="E78" s="2">
        <v>344.36</v>
      </c>
      <c r="F78" s="2">
        <v>343.68</v>
      </c>
      <c r="G78" s="3">
        <v>5621800</v>
      </c>
    </row>
    <row r="79" spans="1:7" x14ac:dyDescent="0.3">
      <c r="A79" s="1">
        <v>45919</v>
      </c>
      <c r="B79" s="2">
        <v>340.45</v>
      </c>
      <c r="C79" s="2">
        <v>342.69</v>
      </c>
      <c r="D79" s="2">
        <v>338.25</v>
      </c>
      <c r="E79" s="2">
        <v>341.61</v>
      </c>
      <c r="F79" s="2">
        <v>340.93</v>
      </c>
      <c r="G79" s="3">
        <v>13674300</v>
      </c>
    </row>
    <row r="80" spans="1:7" x14ac:dyDescent="0.3">
      <c r="A80" s="1">
        <v>45918</v>
      </c>
      <c r="B80" s="2">
        <v>344.73</v>
      </c>
      <c r="C80" s="2">
        <v>345.27</v>
      </c>
      <c r="D80" s="2">
        <v>338.18</v>
      </c>
      <c r="E80" s="2">
        <v>338.18</v>
      </c>
      <c r="F80" s="2">
        <v>337.51</v>
      </c>
      <c r="G80" s="3">
        <v>7526600</v>
      </c>
    </row>
    <row r="81" spans="1:7" x14ac:dyDescent="0.3">
      <c r="A81" s="1">
        <v>45917</v>
      </c>
      <c r="B81" s="2">
        <v>339.94</v>
      </c>
      <c r="C81" s="2">
        <v>346.2</v>
      </c>
      <c r="D81" s="2">
        <v>339.52</v>
      </c>
      <c r="E81" s="2">
        <v>346.2</v>
      </c>
      <c r="F81" s="2">
        <v>345.52</v>
      </c>
      <c r="G81" s="3">
        <v>5763500</v>
      </c>
    </row>
    <row r="82" spans="1:7" x14ac:dyDescent="0.3">
      <c r="A82" s="1">
        <v>45916</v>
      </c>
      <c r="B82" s="2">
        <v>336.24</v>
      </c>
      <c r="C82" s="2">
        <v>340.54</v>
      </c>
      <c r="D82" s="2">
        <v>333.47</v>
      </c>
      <c r="E82" s="2">
        <v>340.03</v>
      </c>
      <c r="F82" s="2">
        <v>339.36</v>
      </c>
      <c r="G82" s="3">
        <v>5527700</v>
      </c>
    </row>
    <row r="83" spans="1:7" x14ac:dyDescent="0.3">
      <c r="A83" s="1">
        <v>45915</v>
      </c>
      <c r="B83" s="2">
        <v>340.61</v>
      </c>
      <c r="C83" s="2">
        <v>342.71</v>
      </c>
      <c r="D83" s="2">
        <v>338.39</v>
      </c>
      <c r="E83" s="2">
        <v>339.05</v>
      </c>
      <c r="F83" s="2">
        <v>338.38</v>
      </c>
      <c r="G83" s="3">
        <v>4367500</v>
      </c>
    </row>
    <row r="84" spans="1:7" x14ac:dyDescent="0.3">
      <c r="A84" s="1">
        <v>45912</v>
      </c>
      <c r="B84" s="2">
        <v>341.22</v>
      </c>
      <c r="C84" s="2">
        <v>343.19</v>
      </c>
      <c r="D84" s="2">
        <v>339.17</v>
      </c>
      <c r="E84" s="2">
        <v>339.43</v>
      </c>
      <c r="F84" s="2">
        <v>338.76</v>
      </c>
      <c r="G84" s="3">
        <v>3518300</v>
      </c>
    </row>
    <row r="85" spans="1:7" x14ac:dyDescent="0.3">
      <c r="A85" s="1">
        <v>45911</v>
      </c>
      <c r="B85" s="2">
        <v>338.73</v>
      </c>
      <c r="C85" s="2">
        <v>343.53</v>
      </c>
      <c r="D85" s="2">
        <v>337.87</v>
      </c>
      <c r="E85" s="2">
        <v>343.49</v>
      </c>
      <c r="F85" s="2">
        <v>342.81</v>
      </c>
      <c r="G85" s="3">
        <v>5157600</v>
      </c>
    </row>
    <row r="86" spans="1:7" x14ac:dyDescent="0.3">
      <c r="A86" s="1">
        <v>45910</v>
      </c>
      <c r="B86" s="2">
        <v>342.61</v>
      </c>
      <c r="C86" s="2">
        <v>342.61</v>
      </c>
      <c r="D86" s="2">
        <v>336.44</v>
      </c>
      <c r="E86" s="2">
        <v>338.12</v>
      </c>
      <c r="F86" s="2">
        <v>337.45</v>
      </c>
      <c r="G86" s="3">
        <v>6557900</v>
      </c>
    </row>
    <row r="87" spans="1:7" x14ac:dyDescent="0.3">
      <c r="A87" s="1">
        <v>45909</v>
      </c>
      <c r="B87" s="2">
        <v>341.69</v>
      </c>
      <c r="C87" s="2">
        <v>346.32</v>
      </c>
      <c r="D87" s="2">
        <v>341.29</v>
      </c>
      <c r="E87" s="2">
        <v>343.99</v>
      </c>
      <c r="F87" s="2">
        <v>343.31</v>
      </c>
      <c r="G87" s="3">
        <v>4646200</v>
      </c>
    </row>
    <row r="88" spans="1:7" x14ac:dyDescent="0.3">
      <c r="A88" s="1">
        <v>45908</v>
      </c>
      <c r="B88" s="2">
        <v>342.34</v>
      </c>
      <c r="C88" s="2">
        <v>344.38</v>
      </c>
      <c r="D88" s="2">
        <v>341</v>
      </c>
      <c r="E88" s="2">
        <v>342.3</v>
      </c>
      <c r="F88" s="2">
        <v>341.62</v>
      </c>
      <c r="G88" s="3">
        <v>4711600</v>
      </c>
    </row>
    <row r="89" spans="1:7" x14ac:dyDescent="0.3">
      <c r="A89" s="1">
        <v>45905</v>
      </c>
      <c r="B89" s="2">
        <v>351.38</v>
      </c>
      <c r="C89" s="2">
        <v>352.62</v>
      </c>
      <c r="D89" s="2">
        <v>340.2</v>
      </c>
      <c r="E89" s="2">
        <v>343.22</v>
      </c>
      <c r="F89" s="2">
        <v>342.54</v>
      </c>
      <c r="G89" s="3">
        <v>5448300</v>
      </c>
    </row>
    <row r="90" spans="1:7" x14ac:dyDescent="0.3">
      <c r="A90" s="1">
        <v>45904</v>
      </c>
      <c r="B90" s="2">
        <v>350.73</v>
      </c>
      <c r="C90" s="2">
        <v>352.63</v>
      </c>
      <c r="D90" s="2">
        <v>349.15</v>
      </c>
      <c r="E90" s="2">
        <v>350.99</v>
      </c>
      <c r="F90" s="2">
        <v>350.3</v>
      </c>
      <c r="G90" s="3">
        <v>4324000</v>
      </c>
    </row>
    <row r="91" spans="1:7" x14ac:dyDescent="0.3">
      <c r="A91" s="1">
        <v>45903</v>
      </c>
      <c r="B91" s="2">
        <v>349.34</v>
      </c>
      <c r="C91" s="2">
        <v>350.89</v>
      </c>
      <c r="D91" s="2">
        <v>347.26</v>
      </c>
      <c r="E91" s="2">
        <v>350.87</v>
      </c>
      <c r="F91" s="2">
        <v>350.18</v>
      </c>
      <c r="G91" s="3">
        <v>4176400</v>
      </c>
    </row>
    <row r="92" spans="1:7" x14ac:dyDescent="0.3">
      <c r="A92" s="1">
        <v>45902</v>
      </c>
      <c r="B92" s="2">
        <v>349.31</v>
      </c>
      <c r="C92" s="2">
        <v>350.17</v>
      </c>
      <c r="D92" s="2">
        <v>346.08</v>
      </c>
      <c r="E92" s="2">
        <v>350.07</v>
      </c>
      <c r="F92" s="2">
        <v>349.38</v>
      </c>
      <c r="G92" s="3">
        <v>4940300</v>
      </c>
    </row>
    <row r="93" spans="1:7" x14ac:dyDescent="0.3">
      <c r="A93" s="1">
        <v>45898</v>
      </c>
      <c r="B93" s="2">
        <v>350.46</v>
      </c>
      <c r="C93" s="2">
        <v>352.63</v>
      </c>
      <c r="D93" s="2">
        <v>349</v>
      </c>
      <c r="E93" s="2">
        <v>351.78</v>
      </c>
      <c r="F93" s="2">
        <v>351.08</v>
      </c>
      <c r="G93" s="3">
        <v>3671900</v>
      </c>
    </row>
    <row r="94" spans="1:7" x14ac:dyDescent="0.3">
      <c r="A94" s="1">
        <v>45897</v>
      </c>
      <c r="B94" s="2">
        <v>350.6</v>
      </c>
      <c r="C94" s="2">
        <v>351.04</v>
      </c>
      <c r="D94" s="2">
        <v>348.6</v>
      </c>
      <c r="E94" s="2">
        <v>349.86</v>
      </c>
      <c r="F94" s="2">
        <v>349.17</v>
      </c>
      <c r="G94" s="3">
        <v>4987100</v>
      </c>
    </row>
    <row r="95" spans="1:7" x14ac:dyDescent="0.3">
      <c r="A95" s="1">
        <v>45896</v>
      </c>
      <c r="B95" s="2">
        <v>350.71</v>
      </c>
      <c r="C95" s="2">
        <v>353.43</v>
      </c>
      <c r="D95" s="2">
        <v>349.84</v>
      </c>
      <c r="E95" s="2">
        <v>350.35</v>
      </c>
      <c r="F95" s="2">
        <v>349.66</v>
      </c>
      <c r="G95" s="3">
        <v>5531100</v>
      </c>
    </row>
    <row r="96" spans="1:7" x14ac:dyDescent="0.3">
      <c r="A96" s="1">
        <v>45895</v>
      </c>
      <c r="B96" s="2">
        <v>348.69</v>
      </c>
      <c r="C96" s="2">
        <v>353.4</v>
      </c>
      <c r="D96" s="2">
        <v>347.45</v>
      </c>
      <c r="E96" s="2">
        <v>351.18</v>
      </c>
      <c r="F96" s="2">
        <v>350.49</v>
      </c>
      <c r="G96" s="3">
        <v>5876200</v>
      </c>
    </row>
    <row r="97" spans="1:7" x14ac:dyDescent="0.3">
      <c r="A97" s="1">
        <v>45894</v>
      </c>
      <c r="B97" s="2">
        <v>349.61</v>
      </c>
      <c r="C97" s="2">
        <v>350.72</v>
      </c>
      <c r="D97" s="2">
        <v>347.5</v>
      </c>
      <c r="E97" s="2">
        <v>348.82</v>
      </c>
      <c r="F97" s="2">
        <v>348.13</v>
      </c>
      <c r="G97" s="3">
        <v>8019800</v>
      </c>
    </row>
    <row r="98" spans="1:7" x14ac:dyDescent="0.3">
      <c r="A98" s="1">
        <v>45891</v>
      </c>
      <c r="B98" s="2">
        <v>345.22</v>
      </c>
      <c r="C98" s="2">
        <v>351.2</v>
      </c>
      <c r="D98" s="2">
        <v>345.22</v>
      </c>
      <c r="E98" s="2">
        <v>350.04</v>
      </c>
      <c r="F98" s="2">
        <v>349.35</v>
      </c>
      <c r="G98" s="3">
        <v>4973200</v>
      </c>
    </row>
    <row r="99" spans="1:7" x14ac:dyDescent="0.3">
      <c r="A99" s="1">
        <v>45890</v>
      </c>
      <c r="B99" s="2">
        <v>342.89</v>
      </c>
      <c r="C99" s="2">
        <v>344.52</v>
      </c>
      <c r="D99" s="2">
        <v>339.72</v>
      </c>
      <c r="E99" s="2">
        <v>343.69</v>
      </c>
      <c r="F99" s="2">
        <v>343.01</v>
      </c>
      <c r="G99" s="3">
        <v>6073600</v>
      </c>
    </row>
    <row r="100" spans="1:7" x14ac:dyDescent="0.3">
      <c r="A100" s="1">
        <v>45889</v>
      </c>
      <c r="B100" s="2">
        <v>343.4</v>
      </c>
      <c r="C100" s="2">
        <v>347.44</v>
      </c>
      <c r="D100" s="2">
        <v>342.85</v>
      </c>
      <c r="E100" s="2">
        <v>343.93</v>
      </c>
      <c r="F100" s="2">
        <v>343.25</v>
      </c>
      <c r="G100" s="3">
        <v>5834400</v>
      </c>
    </row>
    <row r="101" spans="1:7" x14ac:dyDescent="0.3">
      <c r="A101" s="1">
        <v>45888</v>
      </c>
      <c r="B101" s="2">
        <v>342.56</v>
      </c>
      <c r="C101" s="2">
        <v>346.34</v>
      </c>
      <c r="D101" s="2">
        <v>341.89</v>
      </c>
      <c r="E101" s="2">
        <v>342.45</v>
      </c>
      <c r="F101" s="2">
        <v>341.77</v>
      </c>
      <c r="G101" s="3">
        <v>4457200</v>
      </c>
    </row>
    <row r="102" spans="1:7" x14ac:dyDescent="0.3">
      <c r="A102" s="1">
        <v>45887</v>
      </c>
      <c r="B102" s="2">
        <v>343.84</v>
      </c>
      <c r="C102" s="2">
        <v>345.73</v>
      </c>
      <c r="D102" s="2">
        <v>340.95</v>
      </c>
      <c r="E102" s="2">
        <v>342.74</v>
      </c>
      <c r="F102" s="2">
        <v>342.06</v>
      </c>
      <c r="G102" s="3">
        <v>3999600</v>
      </c>
    </row>
    <row r="103" spans="1:7" x14ac:dyDescent="0.3">
      <c r="A103" s="1">
        <v>45884</v>
      </c>
      <c r="B103" s="2">
        <v>346.25</v>
      </c>
      <c r="C103" s="2">
        <v>348.36</v>
      </c>
      <c r="D103" s="2">
        <v>342.86</v>
      </c>
      <c r="E103" s="2">
        <v>344.47</v>
      </c>
      <c r="F103" s="2">
        <v>343.79</v>
      </c>
      <c r="G103" s="3">
        <v>4946600</v>
      </c>
    </row>
    <row r="104" spans="1:7" x14ac:dyDescent="0.3">
      <c r="A104" s="1">
        <v>45883</v>
      </c>
      <c r="B104" s="2">
        <v>342.94</v>
      </c>
      <c r="C104" s="2">
        <v>346.08</v>
      </c>
      <c r="D104" s="2">
        <v>341.67</v>
      </c>
      <c r="E104" s="2">
        <v>345.49</v>
      </c>
      <c r="F104" s="2">
        <v>344.81</v>
      </c>
      <c r="G104" s="3">
        <v>6224000</v>
      </c>
    </row>
    <row r="105" spans="1:7" x14ac:dyDescent="0.3">
      <c r="A105" s="1">
        <v>45882</v>
      </c>
      <c r="B105" s="2">
        <v>336.98</v>
      </c>
      <c r="C105" s="2">
        <v>343.48</v>
      </c>
      <c r="D105" s="2">
        <v>336.78</v>
      </c>
      <c r="E105" s="2">
        <v>342.55</v>
      </c>
      <c r="F105" s="2">
        <v>341.87</v>
      </c>
      <c r="G105" s="3">
        <v>5693400</v>
      </c>
    </row>
    <row r="106" spans="1:7" x14ac:dyDescent="0.3">
      <c r="A106" s="1">
        <v>45881</v>
      </c>
      <c r="B106" s="2">
        <v>335.2</v>
      </c>
      <c r="C106" s="2">
        <v>338.65</v>
      </c>
      <c r="D106" s="2">
        <v>334.81</v>
      </c>
      <c r="E106" s="2">
        <v>336.74</v>
      </c>
      <c r="F106" s="2">
        <v>336.07</v>
      </c>
      <c r="G106" s="3">
        <v>5682800</v>
      </c>
    </row>
    <row r="107" spans="1:7" x14ac:dyDescent="0.3">
      <c r="A107" s="1">
        <v>45880</v>
      </c>
      <c r="B107" s="2">
        <v>336.73</v>
      </c>
      <c r="C107" s="2">
        <v>337.86</v>
      </c>
      <c r="D107" s="2">
        <v>334.51</v>
      </c>
      <c r="E107" s="2">
        <v>335.9</v>
      </c>
      <c r="F107" s="2">
        <v>334.65</v>
      </c>
      <c r="G107" s="3">
        <v>5715800</v>
      </c>
    </row>
    <row r="108" spans="1:7" x14ac:dyDescent="0.3">
      <c r="A108" s="1">
        <v>45877</v>
      </c>
      <c r="B108" s="2">
        <v>333.68</v>
      </c>
      <c r="C108" s="2">
        <v>337.38</v>
      </c>
      <c r="D108" s="2">
        <v>332.73</v>
      </c>
      <c r="E108" s="2">
        <v>336.78</v>
      </c>
      <c r="F108" s="2">
        <v>335.52</v>
      </c>
      <c r="G108" s="3">
        <v>6073900</v>
      </c>
    </row>
    <row r="109" spans="1:7" x14ac:dyDescent="0.3">
      <c r="A109" s="1">
        <v>45876</v>
      </c>
      <c r="B109" s="2">
        <v>341.43</v>
      </c>
      <c r="C109" s="2">
        <v>342.15</v>
      </c>
      <c r="D109" s="2">
        <v>328.7</v>
      </c>
      <c r="E109" s="2">
        <v>332.09</v>
      </c>
      <c r="F109" s="2">
        <v>330.85</v>
      </c>
      <c r="G109" s="3">
        <v>8797100</v>
      </c>
    </row>
    <row r="110" spans="1:7" x14ac:dyDescent="0.3">
      <c r="A110" s="1">
        <v>45875</v>
      </c>
      <c r="B110" s="2">
        <v>338.3</v>
      </c>
      <c r="C110" s="2">
        <v>341.43</v>
      </c>
      <c r="D110" s="2">
        <v>335.43</v>
      </c>
      <c r="E110" s="2">
        <v>339.74</v>
      </c>
      <c r="F110" s="2">
        <v>338.47</v>
      </c>
      <c r="G110" s="3">
        <v>5944100</v>
      </c>
    </row>
    <row r="111" spans="1:7" x14ac:dyDescent="0.3">
      <c r="A111" s="1">
        <v>45874</v>
      </c>
      <c r="B111" s="2">
        <v>342.15</v>
      </c>
      <c r="C111" s="2">
        <v>342.46</v>
      </c>
      <c r="D111" s="2">
        <v>335.55</v>
      </c>
      <c r="E111" s="2">
        <v>337.43</v>
      </c>
      <c r="F111" s="2">
        <v>336.17</v>
      </c>
      <c r="G111" s="3">
        <v>7295600</v>
      </c>
    </row>
    <row r="112" spans="1:7" x14ac:dyDescent="0.3">
      <c r="A112" s="1">
        <v>45873</v>
      </c>
      <c r="B112" s="2">
        <v>341.7</v>
      </c>
      <c r="C112" s="2">
        <v>344.38</v>
      </c>
      <c r="D112" s="2">
        <v>340</v>
      </c>
      <c r="E112" s="2">
        <v>342.15</v>
      </c>
      <c r="F112" s="2">
        <v>340.87</v>
      </c>
      <c r="G112" s="3">
        <v>7335300</v>
      </c>
    </row>
    <row r="113" spans="1:7" x14ac:dyDescent="0.3">
      <c r="A113" s="1">
        <v>45870</v>
      </c>
      <c r="B113" s="2">
        <v>344.1</v>
      </c>
      <c r="C113" s="2">
        <v>346.17</v>
      </c>
      <c r="D113" s="2">
        <v>338.1</v>
      </c>
      <c r="E113" s="2">
        <v>339.35</v>
      </c>
      <c r="F113" s="2">
        <v>338.08</v>
      </c>
      <c r="G113" s="3">
        <v>8658700</v>
      </c>
    </row>
    <row r="114" spans="1:7" x14ac:dyDescent="0.3">
      <c r="A114" s="1">
        <v>45869</v>
      </c>
      <c r="B114" s="2">
        <v>348.93</v>
      </c>
      <c r="C114" s="2">
        <v>352.82</v>
      </c>
      <c r="D114" s="2">
        <v>345.09</v>
      </c>
      <c r="E114" s="2">
        <v>345.47</v>
      </c>
      <c r="F114" s="2">
        <v>344.18</v>
      </c>
      <c r="G114" s="3">
        <v>8641700</v>
      </c>
    </row>
    <row r="115" spans="1:7" x14ac:dyDescent="0.3">
      <c r="A115" s="1">
        <v>45868</v>
      </c>
      <c r="B115" s="2">
        <v>351.7</v>
      </c>
      <c r="C115" s="2">
        <v>356.62</v>
      </c>
      <c r="D115" s="2">
        <v>347.23</v>
      </c>
      <c r="E115" s="2">
        <v>350.91</v>
      </c>
      <c r="F115" s="2">
        <v>349.6</v>
      </c>
      <c r="G115" s="3">
        <v>12129700</v>
      </c>
    </row>
    <row r="116" spans="1:7" x14ac:dyDescent="0.3">
      <c r="A116" s="1">
        <v>45867</v>
      </c>
      <c r="B116" s="2">
        <v>356.29</v>
      </c>
      <c r="C116" s="2">
        <v>358.32</v>
      </c>
      <c r="D116" s="2">
        <v>350.81</v>
      </c>
      <c r="E116" s="2">
        <v>351.29</v>
      </c>
      <c r="F116" s="2">
        <v>349.98</v>
      </c>
      <c r="G116" s="3">
        <v>7402300</v>
      </c>
    </row>
    <row r="117" spans="1:7" x14ac:dyDescent="0.3">
      <c r="A117" s="1">
        <v>45866</v>
      </c>
      <c r="B117" s="2">
        <v>356.38</v>
      </c>
      <c r="C117" s="2">
        <v>358.32</v>
      </c>
      <c r="D117" s="2">
        <v>354.73</v>
      </c>
      <c r="E117" s="2">
        <v>355.47</v>
      </c>
      <c r="F117" s="2">
        <v>354.14</v>
      </c>
      <c r="G117" s="3">
        <v>3921000</v>
      </c>
    </row>
    <row r="118" spans="1:7" x14ac:dyDescent="0.3">
      <c r="A118" s="1">
        <v>45863</v>
      </c>
      <c r="B118" s="2">
        <v>354</v>
      </c>
      <c r="C118" s="2">
        <v>357.65</v>
      </c>
      <c r="D118" s="2">
        <v>353.01</v>
      </c>
      <c r="E118" s="2">
        <v>357.04</v>
      </c>
      <c r="F118" s="2">
        <v>355.71</v>
      </c>
      <c r="G118" s="3">
        <v>3915400</v>
      </c>
    </row>
    <row r="119" spans="1:7" x14ac:dyDescent="0.3">
      <c r="A119" s="1">
        <v>45862</v>
      </c>
      <c r="B119" s="2">
        <v>354.82</v>
      </c>
      <c r="C119" s="2">
        <v>357.18</v>
      </c>
      <c r="D119" s="2">
        <v>353.86</v>
      </c>
      <c r="E119" s="2">
        <v>353.97</v>
      </c>
      <c r="F119" s="2">
        <v>352.65</v>
      </c>
      <c r="G119" s="3">
        <v>5887200</v>
      </c>
    </row>
    <row r="120" spans="1:7" x14ac:dyDescent="0.3">
      <c r="A120" s="1">
        <v>45861</v>
      </c>
      <c r="B120" s="2">
        <v>353</v>
      </c>
      <c r="C120" s="2">
        <v>355.78</v>
      </c>
      <c r="D120" s="2">
        <v>351.21</v>
      </c>
      <c r="E120" s="2">
        <v>355.29</v>
      </c>
      <c r="F120" s="2">
        <v>353.96</v>
      </c>
      <c r="G120" s="3">
        <v>4385600</v>
      </c>
    </row>
    <row r="121" spans="1:7" x14ac:dyDescent="0.3">
      <c r="A121" s="1">
        <v>45860</v>
      </c>
      <c r="B121" s="2">
        <v>351.1</v>
      </c>
      <c r="C121" s="2">
        <v>354.48</v>
      </c>
      <c r="D121" s="2">
        <v>350.2</v>
      </c>
      <c r="E121" s="2">
        <v>351.86</v>
      </c>
      <c r="F121" s="2">
        <v>350.55</v>
      </c>
      <c r="G121" s="3">
        <v>4614200</v>
      </c>
    </row>
    <row r="122" spans="1:7" x14ac:dyDescent="0.3">
      <c r="A122" s="1">
        <v>45859</v>
      </c>
      <c r="B122" s="2">
        <v>349.06</v>
      </c>
      <c r="C122" s="2">
        <v>353.65</v>
      </c>
      <c r="D122" s="2">
        <v>348.4</v>
      </c>
      <c r="E122" s="2">
        <v>350.94</v>
      </c>
      <c r="F122" s="2">
        <v>349.63</v>
      </c>
      <c r="G122" s="3">
        <v>5216300</v>
      </c>
    </row>
    <row r="123" spans="1:7" x14ac:dyDescent="0.3">
      <c r="A123" s="1">
        <v>45856</v>
      </c>
      <c r="B123" s="2">
        <v>349.5</v>
      </c>
      <c r="C123" s="2">
        <v>349.5</v>
      </c>
      <c r="D123" s="2">
        <v>347.16</v>
      </c>
      <c r="E123" s="2">
        <v>349.05</v>
      </c>
      <c r="F123" s="2">
        <v>347.75</v>
      </c>
      <c r="G123" s="3">
        <v>4927600</v>
      </c>
    </row>
    <row r="124" spans="1:7" x14ac:dyDescent="0.3">
      <c r="A124" s="1">
        <v>45855</v>
      </c>
      <c r="B124" s="2">
        <v>350</v>
      </c>
      <c r="C124" s="2">
        <v>351.37</v>
      </c>
      <c r="D124" s="2">
        <v>348.48</v>
      </c>
      <c r="E124" s="2">
        <v>349.81</v>
      </c>
      <c r="F124" s="2">
        <v>348.51</v>
      </c>
      <c r="G124" s="3">
        <v>4747100</v>
      </c>
    </row>
    <row r="125" spans="1:7" x14ac:dyDescent="0.3">
      <c r="A125" s="1">
        <v>45854</v>
      </c>
      <c r="B125" s="2">
        <v>347.29</v>
      </c>
      <c r="C125" s="2">
        <v>350.67</v>
      </c>
      <c r="D125" s="2">
        <v>345.8</v>
      </c>
      <c r="E125" s="2">
        <v>349.9</v>
      </c>
      <c r="F125" s="2">
        <v>348.59</v>
      </c>
      <c r="G125" s="3">
        <v>5554200</v>
      </c>
    </row>
    <row r="126" spans="1:7" x14ac:dyDescent="0.3">
      <c r="A126" s="1">
        <v>45853</v>
      </c>
      <c r="B126" s="2">
        <v>348.12</v>
      </c>
      <c r="C126" s="2">
        <v>350.21</v>
      </c>
      <c r="D126" s="2">
        <v>346.76</v>
      </c>
      <c r="E126" s="2">
        <v>347.02</v>
      </c>
      <c r="F126" s="2">
        <v>345.73</v>
      </c>
      <c r="G126" s="3">
        <v>4891700</v>
      </c>
    </row>
    <row r="127" spans="1:7" x14ac:dyDescent="0.3">
      <c r="A127" s="1">
        <v>45852</v>
      </c>
      <c r="B127" s="2">
        <v>347.39</v>
      </c>
      <c r="C127" s="2">
        <v>351.97</v>
      </c>
      <c r="D127" s="2">
        <v>345.01</v>
      </c>
      <c r="E127" s="2">
        <v>350.5</v>
      </c>
      <c r="F127" s="2">
        <v>349.19</v>
      </c>
      <c r="G127" s="3">
        <v>5589900</v>
      </c>
    </row>
    <row r="128" spans="1:7" x14ac:dyDescent="0.3">
      <c r="A128" s="1">
        <v>45849</v>
      </c>
      <c r="B128" s="2">
        <v>352.51</v>
      </c>
      <c r="C128" s="2">
        <v>353.81</v>
      </c>
      <c r="D128" s="2">
        <v>344.39</v>
      </c>
      <c r="E128" s="2">
        <v>347.93</v>
      </c>
      <c r="F128" s="2">
        <v>346.63</v>
      </c>
      <c r="G128" s="3">
        <v>7580200</v>
      </c>
    </row>
    <row r="129" spans="1:7" x14ac:dyDescent="0.3">
      <c r="A129" s="1">
        <v>45848</v>
      </c>
      <c r="B129" s="2">
        <v>356.83</v>
      </c>
      <c r="C129" s="2">
        <v>357.62</v>
      </c>
      <c r="D129" s="2">
        <v>353.45</v>
      </c>
      <c r="E129" s="2">
        <v>355.88</v>
      </c>
      <c r="F129" s="2">
        <v>354.55</v>
      </c>
      <c r="G129" s="3">
        <v>6121300</v>
      </c>
    </row>
    <row r="130" spans="1:7" x14ac:dyDescent="0.3">
      <c r="A130" s="1">
        <v>45847</v>
      </c>
      <c r="B130" s="2">
        <v>355.07</v>
      </c>
      <c r="C130" s="2">
        <v>357.76</v>
      </c>
      <c r="D130" s="2">
        <v>353.75</v>
      </c>
      <c r="E130" s="2">
        <v>357.76</v>
      </c>
      <c r="F130" s="2">
        <v>356.43</v>
      </c>
      <c r="G130" s="3">
        <v>7297100</v>
      </c>
    </row>
    <row r="131" spans="1:7" x14ac:dyDescent="0.3">
      <c r="A131" s="1">
        <v>45846</v>
      </c>
      <c r="B131" s="2">
        <v>356.68</v>
      </c>
      <c r="C131" s="2">
        <v>358.28</v>
      </c>
      <c r="D131" s="2">
        <v>353.25</v>
      </c>
      <c r="E131" s="2">
        <v>354.55</v>
      </c>
      <c r="F131" s="2">
        <v>353.23</v>
      </c>
      <c r="G131" s="3">
        <v>6966800</v>
      </c>
    </row>
    <row r="132" spans="1:7" x14ac:dyDescent="0.3">
      <c r="A132" s="1">
        <v>45845</v>
      </c>
      <c r="B132" s="2">
        <v>358.92</v>
      </c>
      <c r="C132" s="2">
        <v>359.66</v>
      </c>
      <c r="D132" s="2">
        <v>354.49</v>
      </c>
      <c r="E132" s="2">
        <v>356.64</v>
      </c>
      <c r="F132" s="2">
        <v>355.31</v>
      </c>
      <c r="G132" s="3">
        <v>5138000</v>
      </c>
    </row>
    <row r="133" spans="1:7" x14ac:dyDescent="0.3">
      <c r="A133" s="1">
        <v>45841</v>
      </c>
      <c r="B133" s="2">
        <v>354.59</v>
      </c>
      <c r="C133" s="2">
        <v>359</v>
      </c>
      <c r="D133" s="2">
        <v>353.61</v>
      </c>
      <c r="E133" s="2">
        <v>358.86</v>
      </c>
      <c r="F133" s="2">
        <v>357.52</v>
      </c>
      <c r="G133" s="3">
        <v>3702800</v>
      </c>
    </row>
    <row r="134" spans="1:7" x14ac:dyDescent="0.3">
      <c r="A134" s="1">
        <v>45840</v>
      </c>
      <c r="B134" s="2">
        <v>354.6</v>
      </c>
      <c r="C134" s="2">
        <v>356.36</v>
      </c>
      <c r="D134" s="2">
        <v>350</v>
      </c>
      <c r="E134" s="2">
        <v>354.22</v>
      </c>
      <c r="F134" s="2">
        <v>352.9</v>
      </c>
      <c r="G134" s="3">
        <v>5131400</v>
      </c>
    </row>
    <row r="135" spans="1:7" x14ac:dyDescent="0.3">
      <c r="A135" s="1">
        <v>45839</v>
      </c>
      <c r="B135" s="2">
        <v>353.82</v>
      </c>
      <c r="C135" s="2">
        <v>357</v>
      </c>
      <c r="D135" s="2">
        <v>351.42</v>
      </c>
      <c r="E135" s="2">
        <v>355.47</v>
      </c>
      <c r="F135" s="2">
        <v>354.14</v>
      </c>
      <c r="G135" s="3">
        <v>6653400</v>
      </c>
    </row>
    <row r="136" spans="1:7" x14ac:dyDescent="0.3">
      <c r="A136" s="1">
        <v>45838</v>
      </c>
      <c r="B136" s="2">
        <v>349.35</v>
      </c>
      <c r="C136" s="2">
        <v>355.61</v>
      </c>
      <c r="D136" s="2">
        <v>349.06</v>
      </c>
      <c r="E136" s="2">
        <v>355.05</v>
      </c>
      <c r="F136" s="2">
        <v>353.73</v>
      </c>
      <c r="G136" s="3">
        <v>7080100</v>
      </c>
    </row>
    <row r="137" spans="1:7" x14ac:dyDescent="0.3">
      <c r="A137" s="1">
        <v>45835</v>
      </c>
      <c r="B137" s="2">
        <v>346.59</v>
      </c>
      <c r="C137" s="2">
        <v>352.01</v>
      </c>
      <c r="D137" s="2">
        <v>345.66</v>
      </c>
      <c r="E137" s="2">
        <v>348.61</v>
      </c>
      <c r="F137" s="2">
        <v>347.31</v>
      </c>
      <c r="G137" s="3">
        <v>6601900</v>
      </c>
    </row>
    <row r="138" spans="1:7" x14ac:dyDescent="0.3">
      <c r="A138" s="1">
        <v>45834</v>
      </c>
      <c r="B138" s="2">
        <v>343.78</v>
      </c>
      <c r="C138" s="2">
        <v>346.91</v>
      </c>
      <c r="D138" s="2">
        <v>342.03</v>
      </c>
      <c r="E138" s="2">
        <v>346.03</v>
      </c>
      <c r="F138" s="2">
        <v>344.74</v>
      </c>
      <c r="G138" s="3">
        <v>8829500</v>
      </c>
    </row>
    <row r="139" spans="1:7" x14ac:dyDescent="0.3">
      <c r="A139" s="1">
        <v>45833</v>
      </c>
      <c r="B139" s="2">
        <v>350.45</v>
      </c>
      <c r="C139" s="2">
        <v>351.29</v>
      </c>
      <c r="D139" s="2">
        <v>345.26</v>
      </c>
      <c r="E139" s="2">
        <v>345.26</v>
      </c>
      <c r="F139" s="2">
        <v>343.97</v>
      </c>
      <c r="G139" s="3">
        <v>6836300</v>
      </c>
    </row>
    <row r="140" spans="1:7" x14ac:dyDescent="0.3">
      <c r="A140" s="1">
        <v>45832</v>
      </c>
      <c r="B140" s="2">
        <v>351.52</v>
      </c>
      <c r="C140" s="2">
        <v>354.56</v>
      </c>
      <c r="D140" s="2">
        <v>347.92</v>
      </c>
      <c r="E140" s="2">
        <v>351.63</v>
      </c>
      <c r="F140" s="2">
        <v>350.32</v>
      </c>
      <c r="G140" s="3">
        <v>10172000</v>
      </c>
    </row>
    <row r="141" spans="1:7" x14ac:dyDescent="0.3">
      <c r="A141" s="1">
        <v>45831</v>
      </c>
      <c r="B141" s="2">
        <v>337.5</v>
      </c>
      <c r="C141" s="2">
        <v>344.3</v>
      </c>
      <c r="D141" s="2">
        <v>335.63</v>
      </c>
      <c r="E141" s="2">
        <v>343.75</v>
      </c>
      <c r="F141" s="2">
        <v>342.47</v>
      </c>
      <c r="G141" s="3">
        <v>7553300</v>
      </c>
    </row>
    <row r="142" spans="1:7" x14ac:dyDescent="0.3">
      <c r="A142" s="1">
        <v>45828</v>
      </c>
      <c r="B142" s="2">
        <v>338.95</v>
      </c>
      <c r="C142" s="2">
        <v>340</v>
      </c>
      <c r="D142" s="2">
        <v>334.92</v>
      </c>
      <c r="E142" s="2">
        <v>338.57</v>
      </c>
      <c r="F142" s="2">
        <v>337.31</v>
      </c>
      <c r="G142" s="3">
        <v>19332100</v>
      </c>
    </row>
    <row r="143" spans="1:7" x14ac:dyDescent="0.3">
      <c r="A143" s="1">
        <v>45826</v>
      </c>
      <c r="B143" s="2">
        <v>357.85</v>
      </c>
      <c r="C143" s="2">
        <v>358.48</v>
      </c>
      <c r="D143" s="2">
        <v>338.04</v>
      </c>
      <c r="E143" s="2">
        <v>340.38</v>
      </c>
      <c r="F143" s="2">
        <v>339.11</v>
      </c>
      <c r="G143" s="3">
        <v>15008600</v>
      </c>
    </row>
    <row r="144" spans="1:7" x14ac:dyDescent="0.3">
      <c r="A144" s="1">
        <v>45825</v>
      </c>
      <c r="B144" s="2">
        <v>353.49</v>
      </c>
      <c r="C144" s="2">
        <v>359.6</v>
      </c>
      <c r="D144" s="2">
        <v>353.32</v>
      </c>
      <c r="E144" s="2">
        <v>357.84</v>
      </c>
      <c r="F144" s="2">
        <v>356.51</v>
      </c>
      <c r="G144" s="3">
        <v>5559600</v>
      </c>
    </row>
    <row r="145" spans="1:7" x14ac:dyDescent="0.3">
      <c r="A145" s="1">
        <v>45824</v>
      </c>
      <c r="B145" s="2">
        <v>356.49</v>
      </c>
      <c r="C145" s="2">
        <v>360.22</v>
      </c>
      <c r="D145" s="2">
        <v>354.33</v>
      </c>
      <c r="E145" s="2">
        <v>355.48</v>
      </c>
      <c r="F145" s="2">
        <v>354.15</v>
      </c>
      <c r="G145" s="3">
        <v>7234700</v>
      </c>
    </row>
    <row r="146" spans="1:7" x14ac:dyDescent="0.3">
      <c r="A146" s="1">
        <v>45821</v>
      </c>
      <c r="B146" s="2">
        <v>361.51</v>
      </c>
      <c r="C146" s="2">
        <v>363.01</v>
      </c>
      <c r="D146" s="2">
        <v>345</v>
      </c>
      <c r="E146" s="2">
        <v>352.85</v>
      </c>
      <c r="F146" s="2">
        <v>351.53</v>
      </c>
      <c r="G146" s="3">
        <v>14181700</v>
      </c>
    </row>
    <row r="147" spans="1:7" x14ac:dyDescent="0.3">
      <c r="A147" s="1">
        <v>45820</v>
      </c>
      <c r="B147" s="2">
        <v>372.23</v>
      </c>
      <c r="C147" s="2">
        <v>374.17</v>
      </c>
      <c r="D147" s="2">
        <v>369.55</v>
      </c>
      <c r="E147" s="2">
        <v>371.4</v>
      </c>
      <c r="F147" s="2">
        <v>370.01</v>
      </c>
      <c r="G147" s="3">
        <v>4874000</v>
      </c>
    </row>
    <row r="148" spans="1:7" x14ac:dyDescent="0.3">
      <c r="A148" s="1">
        <v>45819</v>
      </c>
      <c r="B148" s="2">
        <v>370</v>
      </c>
      <c r="C148" s="2">
        <v>375.51</v>
      </c>
      <c r="D148" s="2">
        <v>369.38</v>
      </c>
      <c r="E148" s="2">
        <v>373.31</v>
      </c>
      <c r="F148" s="2">
        <v>371.92</v>
      </c>
      <c r="G148" s="3">
        <v>5562700</v>
      </c>
    </row>
    <row r="149" spans="1:7" x14ac:dyDescent="0.3">
      <c r="A149" s="1">
        <v>45818</v>
      </c>
      <c r="B149" s="2">
        <v>367</v>
      </c>
      <c r="C149" s="2">
        <v>371.44</v>
      </c>
      <c r="D149" s="2">
        <v>366.68</v>
      </c>
      <c r="E149" s="2">
        <v>370.7</v>
      </c>
      <c r="F149" s="2">
        <v>369.32</v>
      </c>
      <c r="G149" s="3">
        <v>4109300</v>
      </c>
    </row>
    <row r="150" spans="1:7" x14ac:dyDescent="0.3">
      <c r="A150" s="1">
        <v>45817</v>
      </c>
      <c r="B150" s="2">
        <v>369.79</v>
      </c>
      <c r="C150" s="2">
        <v>369.79</v>
      </c>
      <c r="D150" s="2">
        <v>362.05</v>
      </c>
      <c r="E150" s="2">
        <v>366.66</v>
      </c>
      <c r="F150" s="2">
        <v>365.29</v>
      </c>
      <c r="G150" s="3">
        <v>4999900</v>
      </c>
    </row>
    <row r="151" spans="1:7" x14ac:dyDescent="0.3">
      <c r="A151" s="1">
        <v>45814</v>
      </c>
      <c r="B151" s="2">
        <v>369.01</v>
      </c>
      <c r="C151" s="2">
        <v>371</v>
      </c>
      <c r="D151" s="2">
        <v>367.55</v>
      </c>
      <c r="E151" s="2">
        <v>370.22</v>
      </c>
      <c r="F151" s="2">
        <v>368.84</v>
      </c>
      <c r="G151" s="3">
        <v>5008500</v>
      </c>
    </row>
    <row r="152" spans="1:7" x14ac:dyDescent="0.3">
      <c r="A152" s="1">
        <v>45813</v>
      </c>
      <c r="B152" s="2">
        <v>370</v>
      </c>
      <c r="C152" s="2">
        <v>371</v>
      </c>
      <c r="D152" s="2">
        <v>365.93</v>
      </c>
      <c r="E152" s="2">
        <v>366.77</v>
      </c>
      <c r="F152" s="2">
        <v>365.4</v>
      </c>
      <c r="G152" s="3">
        <v>6881900</v>
      </c>
    </row>
    <row r="153" spans="1:7" x14ac:dyDescent="0.3">
      <c r="A153" s="1">
        <v>45812</v>
      </c>
      <c r="B153" s="2">
        <v>366.71</v>
      </c>
      <c r="C153" s="2">
        <v>369.66</v>
      </c>
      <c r="D153" s="2">
        <v>366.31</v>
      </c>
      <c r="E153" s="2">
        <v>368</v>
      </c>
      <c r="F153" s="2">
        <v>366.63</v>
      </c>
      <c r="G153" s="3">
        <v>4202300</v>
      </c>
    </row>
    <row r="154" spans="1:7" x14ac:dyDescent="0.3">
      <c r="A154" s="1">
        <v>45811</v>
      </c>
      <c r="B154" s="2">
        <v>364.58</v>
      </c>
      <c r="C154" s="2">
        <v>366.88</v>
      </c>
      <c r="D154" s="2">
        <v>361.5</v>
      </c>
      <c r="E154" s="2">
        <v>365.86</v>
      </c>
      <c r="F154" s="2">
        <v>364.5</v>
      </c>
      <c r="G154" s="3">
        <v>5221300</v>
      </c>
    </row>
    <row r="155" spans="1:7" x14ac:dyDescent="0.3">
      <c r="A155" s="1">
        <v>45810</v>
      </c>
      <c r="B155" s="2">
        <v>362.77</v>
      </c>
      <c r="C155" s="2">
        <v>365.46</v>
      </c>
      <c r="D155" s="2">
        <v>359.96</v>
      </c>
      <c r="E155" s="2">
        <v>365.32</v>
      </c>
      <c r="F155" s="2">
        <v>363.96</v>
      </c>
      <c r="G155" s="3">
        <v>3845700</v>
      </c>
    </row>
    <row r="156" spans="1:7" x14ac:dyDescent="0.3">
      <c r="A156" s="1">
        <v>45807</v>
      </c>
      <c r="B156" s="2">
        <v>361.35</v>
      </c>
      <c r="C156" s="2">
        <v>367.04</v>
      </c>
      <c r="D156" s="2">
        <v>361.35</v>
      </c>
      <c r="E156" s="2">
        <v>365.19</v>
      </c>
      <c r="F156" s="2">
        <v>363.83</v>
      </c>
      <c r="G156" s="3">
        <v>8726900</v>
      </c>
    </row>
    <row r="157" spans="1:7" x14ac:dyDescent="0.3">
      <c r="A157" s="1">
        <v>45806</v>
      </c>
      <c r="B157" s="2">
        <v>360.35</v>
      </c>
      <c r="C157" s="2">
        <v>363.04</v>
      </c>
      <c r="D157" s="2">
        <v>358.72</v>
      </c>
      <c r="E157" s="2">
        <v>362.4</v>
      </c>
      <c r="F157" s="2">
        <v>361.05</v>
      </c>
      <c r="G157" s="3">
        <v>4590400</v>
      </c>
    </row>
    <row r="158" spans="1:7" x14ac:dyDescent="0.3">
      <c r="A158" s="1">
        <v>45805</v>
      </c>
      <c r="B158" s="2">
        <v>359.34</v>
      </c>
      <c r="C158" s="2">
        <v>360.91</v>
      </c>
      <c r="D158" s="2">
        <v>358.04</v>
      </c>
      <c r="E158" s="2">
        <v>359.73</v>
      </c>
      <c r="F158" s="2">
        <v>358.39</v>
      </c>
      <c r="G158" s="3">
        <v>3299000</v>
      </c>
    </row>
    <row r="159" spans="1:7" x14ac:dyDescent="0.3">
      <c r="A159" s="1">
        <v>45804</v>
      </c>
      <c r="B159" s="2">
        <v>355.41</v>
      </c>
      <c r="C159" s="2">
        <v>360</v>
      </c>
      <c r="D159" s="2">
        <v>354.48</v>
      </c>
      <c r="E159" s="2">
        <v>359.3</v>
      </c>
      <c r="F159" s="2">
        <v>357.96</v>
      </c>
      <c r="G159" s="3">
        <v>6316000</v>
      </c>
    </row>
    <row r="160" spans="1:7" x14ac:dyDescent="0.3">
      <c r="A160" s="1">
        <v>45800</v>
      </c>
      <c r="B160" s="2">
        <v>353.75</v>
      </c>
      <c r="C160" s="2">
        <v>356</v>
      </c>
      <c r="D160" s="2">
        <v>352.22</v>
      </c>
      <c r="E160" s="2">
        <v>353.54</v>
      </c>
      <c r="F160" s="2">
        <v>352.22</v>
      </c>
      <c r="G160" s="3">
        <v>5345900</v>
      </c>
    </row>
    <row r="161" spans="1:7" x14ac:dyDescent="0.3">
      <c r="A161" s="1">
        <v>45799</v>
      </c>
      <c r="B161" s="2">
        <v>357.76</v>
      </c>
      <c r="C161" s="2">
        <v>360</v>
      </c>
      <c r="D161" s="2">
        <v>356.56</v>
      </c>
      <c r="E161" s="2">
        <v>357.97</v>
      </c>
      <c r="F161" s="2">
        <v>356.63</v>
      </c>
      <c r="G161" s="3">
        <v>4936600</v>
      </c>
    </row>
    <row r="162" spans="1:7" x14ac:dyDescent="0.3">
      <c r="A162" s="1">
        <v>45798</v>
      </c>
      <c r="B162" s="2">
        <v>363.72</v>
      </c>
      <c r="C162" s="2">
        <v>365.99</v>
      </c>
      <c r="D162" s="2">
        <v>358.08</v>
      </c>
      <c r="E162" s="2">
        <v>358.3</v>
      </c>
      <c r="F162" s="2">
        <v>356.96</v>
      </c>
      <c r="G162" s="3">
        <v>6125500</v>
      </c>
    </row>
    <row r="163" spans="1:7" x14ac:dyDescent="0.3">
      <c r="A163" s="1">
        <v>45797</v>
      </c>
      <c r="B163" s="2">
        <v>367.78</v>
      </c>
      <c r="C163" s="2">
        <v>368.25</v>
      </c>
      <c r="D163" s="2">
        <v>364.69</v>
      </c>
      <c r="E163" s="2">
        <v>366.84</v>
      </c>
      <c r="F163" s="2">
        <v>365.47</v>
      </c>
      <c r="G163" s="3">
        <v>5281400</v>
      </c>
    </row>
    <row r="164" spans="1:7" x14ac:dyDescent="0.3">
      <c r="A164" s="1">
        <v>45796</v>
      </c>
      <c r="B164" s="2">
        <v>363.02</v>
      </c>
      <c r="C164" s="2">
        <v>369.15</v>
      </c>
      <c r="D164" s="2">
        <v>362.32</v>
      </c>
      <c r="E164" s="2">
        <v>367.9</v>
      </c>
      <c r="F164" s="2">
        <v>366.53</v>
      </c>
      <c r="G164" s="3">
        <v>5081500</v>
      </c>
    </row>
    <row r="165" spans="1:7" x14ac:dyDescent="0.3">
      <c r="A165" s="1">
        <v>45793</v>
      </c>
      <c r="B165" s="2">
        <v>362.95</v>
      </c>
      <c r="C165" s="2">
        <v>366.19</v>
      </c>
      <c r="D165" s="2">
        <v>360.89</v>
      </c>
      <c r="E165" s="2">
        <v>365.12</v>
      </c>
      <c r="F165" s="2">
        <v>363.76</v>
      </c>
      <c r="G165" s="3">
        <v>5838100</v>
      </c>
    </row>
    <row r="166" spans="1:7" x14ac:dyDescent="0.3">
      <c r="A166" s="1">
        <v>45792</v>
      </c>
      <c r="B166" s="2">
        <v>356.89</v>
      </c>
      <c r="C166" s="2">
        <v>363.73</v>
      </c>
      <c r="D166" s="2">
        <v>356.68</v>
      </c>
      <c r="E166" s="2">
        <v>362.3</v>
      </c>
      <c r="F166" s="2">
        <v>360.95</v>
      </c>
      <c r="G166" s="3">
        <v>5826100</v>
      </c>
    </row>
    <row r="167" spans="1:7" x14ac:dyDescent="0.3">
      <c r="A167" s="1">
        <v>45791</v>
      </c>
      <c r="B167" s="2">
        <v>356.67</v>
      </c>
      <c r="C167" s="2">
        <v>358.41</v>
      </c>
      <c r="D167" s="2">
        <v>355.21</v>
      </c>
      <c r="E167" s="2">
        <v>356.48</v>
      </c>
      <c r="F167" s="2">
        <v>355.13</v>
      </c>
      <c r="G167" s="3">
        <v>6207600</v>
      </c>
    </row>
    <row r="168" spans="1:7" x14ac:dyDescent="0.3">
      <c r="A168" s="1">
        <v>45790</v>
      </c>
      <c r="B168" s="2">
        <v>355.52</v>
      </c>
      <c r="C168" s="2">
        <v>358.87</v>
      </c>
      <c r="D168" s="2">
        <v>354.58</v>
      </c>
      <c r="E168" s="2">
        <v>356.14</v>
      </c>
      <c r="F168" s="2">
        <v>354.81</v>
      </c>
      <c r="G168" s="3">
        <v>5406200</v>
      </c>
    </row>
    <row r="169" spans="1:7" x14ac:dyDescent="0.3">
      <c r="A169" s="1">
        <v>45789</v>
      </c>
      <c r="B169" s="2">
        <v>359.14</v>
      </c>
      <c r="C169" s="2">
        <v>361.89</v>
      </c>
      <c r="D169" s="2">
        <v>351.13</v>
      </c>
      <c r="E169" s="2">
        <v>355.85</v>
      </c>
      <c r="F169" s="2">
        <v>353.93</v>
      </c>
      <c r="G169" s="3">
        <v>7985400</v>
      </c>
    </row>
    <row r="170" spans="1:7" x14ac:dyDescent="0.3">
      <c r="A170" s="1">
        <v>45786</v>
      </c>
      <c r="B170" s="2">
        <v>351.83</v>
      </c>
      <c r="C170" s="2">
        <v>353.8</v>
      </c>
      <c r="D170" s="2">
        <v>350.67</v>
      </c>
      <c r="E170" s="2">
        <v>352.54</v>
      </c>
      <c r="F170" s="2">
        <v>350.64</v>
      </c>
      <c r="G170" s="3">
        <v>3086600</v>
      </c>
    </row>
    <row r="171" spans="1:7" x14ac:dyDescent="0.3">
      <c r="A171" s="1">
        <v>45785</v>
      </c>
      <c r="B171" s="2">
        <v>352</v>
      </c>
      <c r="C171" s="2">
        <v>355.33</v>
      </c>
      <c r="D171" s="2">
        <v>350.95</v>
      </c>
      <c r="E171" s="2">
        <v>351.27</v>
      </c>
      <c r="F171" s="2">
        <v>349.38</v>
      </c>
      <c r="G171" s="3">
        <v>4156400</v>
      </c>
    </row>
    <row r="172" spans="1:7" x14ac:dyDescent="0.3">
      <c r="A172" s="1">
        <v>45784</v>
      </c>
      <c r="B172" s="2">
        <v>348.7</v>
      </c>
      <c r="C172" s="2">
        <v>351.15</v>
      </c>
      <c r="D172" s="2">
        <v>347.21</v>
      </c>
      <c r="E172" s="2">
        <v>349.85</v>
      </c>
      <c r="F172" s="2">
        <v>347.97</v>
      </c>
      <c r="G172" s="3">
        <v>5454000</v>
      </c>
    </row>
    <row r="173" spans="1:7" x14ac:dyDescent="0.3">
      <c r="A173" s="1">
        <v>45783</v>
      </c>
      <c r="B173" s="2">
        <v>346.4</v>
      </c>
      <c r="C173" s="2">
        <v>349.65</v>
      </c>
      <c r="D173" s="2">
        <v>345.76</v>
      </c>
      <c r="E173" s="2">
        <v>347.7</v>
      </c>
      <c r="F173" s="2">
        <v>345.83</v>
      </c>
      <c r="G173" s="3">
        <v>3438500</v>
      </c>
    </row>
    <row r="174" spans="1:7" x14ac:dyDescent="0.3">
      <c r="A174" s="1">
        <v>45782</v>
      </c>
      <c r="B174" s="2">
        <v>347</v>
      </c>
      <c r="C174" s="2">
        <v>351.05</v>
      </c>
      <c r="D174" s="2">
        <v>346.12</v>
      </c>
      <c r="E174" s="2">
        <v>348.64</v>
      </c>
      <c r="F174" s="2">
        <v>346.76</v>
      </c>
      <c r="G174" s="3">
        <v>3865300</v>
      </c>
    </row>
    <row r="175" spans="1:7" x14ac:dyDescent="0.3">
      <c r="A175" s="1">
        <v>45779</v>
      </c>
      <c r="B175" s="2">
        <v>347.22</v>
      </c>
      <c r="C175" s="2">
        <v>350.09</v>
      </c>
      <c r="D175" s="2">
        <v>346.12</v>
      </c>
      <c r="E175" s="2">
        <v>347.6</v>
      </c>
      <c r="F175" s="2">
        <v>345.73</v>
      </c>
      <c r="G175" s="3">
        <v>6113700</v>
      </c>
    </row>
    <row r="176" spans="1:7" x14ac:dyDescent="0.3">
      <c r="A176" s="1">
        <v>45778</v>
      </c>
      <c r="B176" s="2">
        <v>345.58</v>
      </c>
      <c r="C176" s="2">
        <v>345.72</v>
      </c>
      <c r="D176" s="2">
        <v>340.12</v>
      </c>
      <c r="E176" s="2">
        <v>342.45</v>
      </c>
      <c r="F176" s="2">
        <v>340.61</v>
      </c>
      <c r="G176" s="3">
        <v>5849900</v>
      </c>
    </row>
    <row r="177" spans="1:7" x14ac:dyDescent="0.3">
      <c r="A177" s="1">
        <v>45777</v>
      </c>
      <c r="B177" s="2">
        <v>334.44</v>
      </c>
      <c r="C177" s="2">
        <v>346.52</v>
      </c>
      <c r="D177" s="2">
        <v>333.24</v>
      </c>
      <c r="E177" s="2">
        <v>345.5</v>
      </c>
      <c r="F177" s="2">
        <v>343.64</v>
      </c>
      <c r="G177" s="3">
        <v>9526700</v>
      </c>
    </row>
    <row r="178" spans="1:7" x14ac:dyDescent="0.3">
      <c r="A178" s="1">
        <v>45776</v>
      </c>
      <c r="B178" s="2">
        <v>338.5</v>
      </c>
      <c r="C178" s="2">
        <v>342.27</v>
      </c>
      <c r="D178" s="2">
        <v>336.46</v>
      </c>
      <c r="E178" s="2">
        <v>341.52</v>
      </c>
      <c r="F178" s="2">
        <v>339.68</v>
      </c>
      <c r="G178" s="3">
        <v>5519500</v>
      </c>
    </row>
    <row r="179" spans="1:7" x14ac:dyDescent="0.3">
      <c r="A179" s="1">
        <v>45775</v>
      </c>
      <c r="B179" s="2">
        <v>336.78</v>
      </c>
      <c r="C179" s="2">
        <v>339.34</v>
      </c>
      <c r="D179" s="2">
        <v>335.02</v>
      </c>
      <c r="E179" s="2">
        <v>337.51</v>
      </c>
      <c r="F179" s="2">
        <v>335.69</v>
      </c>
      <c r="G179" s="3">
        <v>5422900</v>
      </c>
    </row>
    <row r="180" spans="1:7" x14ac:dyDescent="0.3">
      <c r="A180" s="1">
        <v>45772</v>
      </c>
      <c r="B180" s="2">
        <v>334.76</v>
      </c>
      <c r="C180" s="2">
        <v>336.37</v>
      </c>
      <c r="D180" s="2">
        <v>332.17</v>
      </c>
      <c r="E180" s="2">
        <v>335.17</v>
      </c>
      <c r="F180" s="2">
        <v>333.37</v>
      </c>
      <c r="G180" s="3">
        <v>4452800</v>
      </c>
    </row>
    <row r="181" spans="1:7" x14ac:dyDescent="0.3">
      <c r="A181" s="1">
        <v>45771</v>
      </c>
      <c r="B181" s="2">
        <v>333.28</v>
      </c>
      <c r="C181" s="2">
        <v>336.77</v>
      </c>
      <c r="D181" s="2">
        <v>331.25</v>
      </c>
      <c r="E181" s="2">
        <v>335.71</v>
      </c>
      <c r="F181" s="2">
        <v>333.9</v>
      </c>
      <c r="G181" s="3">
        <v>8055200</v>
      </c>
    </row>
    <row r="182" spans="1:7" x14ac:dyDescent="0.3">
      <c r="A182" s="1">
        <v>45770</v>
      </c>
      <c r="B182" s="2">
        <v>337.24</v>
      </c>
      <c r="C182" s="2">
        <v>341.25</v>
      </c>
      <c r="D182" s="2">
        <v>333.2</v>
      </c>
      <c r="E182" s="2">
        <v>334.37</v>
      </c>
      <c r="F182" s="2">
        <v>332.57</v>
      </c>
      <c r="G182" s="3">
        <v>8906000</v>
      </c>
    </row>
    <row r="183" spans="1:7" x14ac:dyDescent="0.3">
      <c r="A183" s="1">
        <v>45769</v>
      </c>
      <c r="B183" s="2">
        <v>323.86</v>
      </c>
      <c r="C183" s="2">
        <v>332.56</v>
      </c>
      <c r="D183" s="2">
        <v>322.39</v>
      </c>
      <c r="E183" s="2">
        <v>331.4</v>
      </c>
      <c r="F183" s="2">
        <v>329.62</v>
      </c>
      <c r="G183" s="3">
        <v>5435500</v>
      </c>
    </row>
    <row r="184" spans="1:7" x14ac:dyDescent="0.3">
      <c r="A184" s="1">
        <v>45768</v>
      </c>
      <c r="B184" s="2">
        <v>329</v>
      </c>
      <c r="C184" s="2">
        <v>329.15</v>
      </c>
      <c r="D184" s="2">
        <v>316.64999999999998</v>
      </c>
      <c r="E184" s="2">
        <v>320.10000000000002</v>
      </c>
      <c r="F184" s="2">
        <v>318.38</v>
      </c>
      <c r="G184" s="3">
        <v>6362300</v>
      </c>
    </row>
    <row r="185" spans="1:7" x14ac:dyDescent="0.3">
      <c r="A185" s="1">
        <v>45764</v>
      </c>
      <c r="B185" s="2">
        <v>331.07</v>
      </c>
      <c r="C185" s="2">
        <v>334.32</v>
      </c>
      <c r="D185" s="2">
        <v>328.44</v>
      </c>
      <c r="E185" s="2">
        <v>329.61</v>
      </c>
      <c r="F185" s="2">
        <v>327.84</v>
      </c>
      <c r="G185" s="3">
        <v>5655900</v>
      </c>
    </row>
    <row r="186" spans="1:7" x14ac:dyDescent="0.3">
      <c r="A186" s="1">
        <v>45763</v>
      </c>
      <c r="B186" s="2">
        <v>335</v>
      </c>
      <c r="C186" s="2">
        <v>337.22</v>
      </c>
      <c r="D186" s="2">
        <v>328.86</v>
      </c>
      <c r="E186" s="2">
        <v>331.33</v>
      </c>
      <c r="F186" s="2">
        <v>329.55</v>
      </c>
      <c r="G186" s="3">
        <v>5850600</v>
      </c>
    </row>
    <row r="187" spans="1:7" x14ac:dyDescent="0.3">
      <c r="A187" s="1">
        <v>45762</v>
      </c>
      <c r="B187" s="2">
        <v>336.72</v>
      </c>
      <c r="C187" s="2">
        <v>339.39</v>
      </c>
      <c r="D187" s="2">
        <v>335</v>
      </c>
      <c r="E187" s="2">
        <v>335.81</v>
      </c>
      <c r="F187" s="2">
        <v>334</v>
      </c>
      <c r="G187" s="3">
        <v>4386200</v>
      </c>
    </row>
    <row r="188" spans="1:7" x14ac:dyDescent="0.3">
      <c r="A188" s="1">
        <v>45761</v>
      </c>
      <c r="B188" s="2">
        <v>336.41</v>
      </c>
      <c r="C188" s="2">
        <v>339.61</v>
      </c>
      <c r="D188" s="2">
        <v>333.14</v>
      </c>
      <c r="E188" s="2">
        <v>335.18</v>
      </c>
      <c r="F188" s="2">
        <v>333.38</v>
      </c>
      <c r="G188" s="3">
        <v>5011800</v>
      </c>
    </row>
    <row r="189" spans="1:7" x14ac:dyDescent="0.3">
      <c r="A189" s="1">
        <v>45758</v>
      </c>
      <c r="B189" s="2">
        <v>324.43</v>
      </c>
      <c r="C189" s="2">
        <v>336.98</v>
      </c>
      <c r="D189" s="2">
        <v>322.54000000000002</v>
      </c>
      <c r="E189" s="2">
        <v>334.4</v>
      </c>
      <c r="F189" s="2">
        <v>331.61</v>
      </c>
      <c r="G189" s="3">
        <v>6804500</v>
      </c>
    </row>
    <row r="190" spans="1:7" x14ac:dyDescent="0.3">
      <c r="A190" s="1">
        <v>45757</v>
      </c>
      <c r="B190" s="2">
        <v>328.02</v>
      </c>
      <c r="C190" s="2">
        <v>330.16</v>
      </c>
      <c r="D190" s="2">
        <v>313.27</v>
      </c>
      <c r="E190" s="2">
        <v>324.61</v>
      </c>
      <c r="F190" s="2">
        <v>322.86</v>
      </c>
      <c r="G190" s="3">
        <v>8709800</v>
      </c>
    </row>
    <row r="191" spans="1:7" x14ac:dyDescent="0.3">
      <c r="A191" s="1">
        <v>45756</v>
      </c>
      <c r="B191" s="2">
        <v>305.64</v>
      </c>
      <c r="C191" s="2">
        <v>334.03</v>
      </c>
      <c r="D191" s="2">
        <v>305.64</v>
      </c>
      <c r="E191" s="2">
        <v>332.43</v>
      </c>
      <c r="F191" s="2">
        <v>330.64</v>
      </c>
      <c r="G191" s="3">
        <v>11361800</v>
      </c>
    </row>
    <row r="192" spans="1:7" x14ac:dyDescent="0.3">
      <c r="A192" s="1">
        <v>45755</v>
      </c>
      <c r="B192" s="2">
        <v>322.24</v>
      </c>
      <c r="C192" s="2">
        <v>326.27999999999997</v>
      </c>
      <c r="D192" s="2">
        <v>303.93</v>
      </c>
      <c r="E192" s="2">
        <v>308.27</v>
      </c>
      <c r="F192" s="2">
        <v>306.61</v>
      </c>
      <c r="G192" s="3">
        <v>9569300</v>
      </c>
    </row>
    <row r="193" spans="1:7" x14ac:dyDescent="0.3">
      <c r="A193" s="1">
        <v>45754</v>
      </c>
      <c r="B193" s="2">
        <v>302.07</v>
      </c>
      <c r="C193" s="2">
        <v>322.18</v>
      </c>
      <c r="D193" s="2">
        <v>299</v>
      </c>
      <c r="E193" s="2">
        <v>312.32</v>
      </c>
      <c r="F193" s="2">
        <v>310.64</v>
      </c>
      <c r="G193" s="3">
        <v>12163400</v>
      </c>
    </row>
    <row r="194" spans="1:7" x14ac:dyDescent="0.3">
      <c r="A194" s="1">
        <v>45751</v>
      </c>
      <c r="B194" s="2">
        <v>330</v>
      </c>
      <c r="C194" s="2">
        <v>334.65</v>
      </c>
      <c r="D194" s="2">
        <v>312.12</v>
      </c>
      <c r="E194" s="2">
        <v>313.13</v>
      </c>
      <c r="F194" s="2">
        <v>311.44</v>
      </c>
      <c r="G194" s="3">
        <v>13201700</v>
      </c>
    </row>
    <row r="195" spans="1:7" x14ac:dyDescent="0.3">
      <c r="A195" s="1">
        <v>45750</v>
      </c>
      <c r="B195" s="2">
        <v>333.9</v>
      </c>
      <c r="C195" s="2">
        <v>344.74</v>
      </c>
      <c r="D195" s="2">
        <v>331</v>
      </c>
      <c r="E195" s="2">
        <v>339.39</v>
      </c>
      <c r="F195" s="2">
        <v>337.56</v>
      </c>
      <c r="G195" s="3">
        <v>8792900</v>
      </c>
    </row>
    <row r="196" spans="1:7" x14ac:dyDescent="0.3">
      <c r="A196" s="1">
        <v>45749</v>
      </c>
      <c r="B196" s="2">
        <v>343.44</v>
      </c>
      <c r="C196" s="2">
        <v>348.2</v>
      </c>
      <c r="D196" s="2">
        <v>343.05</v>
      </c>
      <c r="E196" s="2">
        <v>346.33</v>
      </c>
      <c r="F196" s="2">
        <v>344.47</v>
      </c>
      <c r="G196" s="3">
        <v>6582500</v>
      </c>
    </row>
    <row r="197" spans="1:7" x14ac:dyDescent="0.3">
      <c r="A197" s="1">
        <v>45748</v>
      </c>
      <c r="B197" s="2">
        <v>350.44</v>
      </c>
      <c r="C197" s="2">
        <v>350.45</v>
      </c>
      <c r="D197" s="2">
        <v>342.57</v>
      </c>
      <c r="E197" s="2">
        <v>346.35</v>
      </c>
      <c r="F197" s="2">
        <v>344.49</v>
      </c>
      <c r="G197" s="3">
        <v>7473300</v>
      </c>
    </row>
    <row r="198" spans="1:7" x14ac:dyDescent="0.3">
      <c r="A198" s="1">
        <v>45747</v>
      </c>
      <c r="B198" s="2">
        <v>339.35</v>
      </c>
      <c r="C198" s="2">
        <v>351.86</v>
      </c>
      <c r="D198" s="2">
        <v>334.49</v>
      </c>
      <c r="E198" s="2">
        <v>350.46</v>
      </c>
      <c r="F198" s="2">
        <v>348.57</v>
      </c>
      <c r="G198" s="3">
        <v>9950800</v>
      </c>
    </row>
    <row r="199" spans="1:7" x14ac:dyDescent="0.3">
      <c r="A199" s="1">
        <v>45744</v>
      </c>
      <c r="B199" s="2">
        <v>349.19</v>
      </c>
      <c r="C199" s="2">
        <v>351.62</v>
      </c>
      <c r="D199" s="2">
        <v>341.61</v>
      </c>
      <c r="E199" s="2">
        <v>342.85</v>
      </c>
      <c r="F199" s="2">
        <v>341</v>
      </c>
      <c r="G199" s="3">
        <v>5687600</v>
      </c>
    </row>
    <row r="200" spans="1:7" x14ac:dyDescent="0.3">
      <c r="A200" s="1">
        <v>45743</v>
      </c>
      <c r="B200" s="2">
        <v>344</v>
      </c>
      <c r="C200" s="2">
        <v>350.84</v>
      </c>
      <c r="D200" s="2">
        <v>343.32</v>
      </c>
      <c r="E200" s="2">
        <v>349.86</v>
      </c>
      <c r="F200" s="2">
        <v>347.98</v>
      </c>
      <c r="G200" s="3">
        <v>7254800</v>
      </c>
    </row>
    <row r="201" spans="1:7" x14ac:dyDescent="0.3">
      <c r="A201" s="1">
        <v>45742</v>
      </c>
      <c r="B201" s="2">
        <v>345.99</v>
      </c>
      <c r="C201" s="2">
        <v>347.38</v>
      </c>
      <c r="D201" s="2">
        <v>343</v>
      </c>
      <c r="E201" s="2">
        <v>344.18</v>
      </c>
      <c r="F201" s="2">
        <v>342.33</v>
      </c>
      <c r="G201" s="3">
        <v>6187100</v>
      </c>
    </row>
    <row r="202" spans="1:7" x14ac:dyDescent="0.3">
      <c r="A202" s="1">
        <v>45741</v>
      </c>
      <c r="B202" s="2">
        <v>344.56</v>
      </c>
      <c r="C202" s="2">
        <v>345.53</v>
      </c>
      <c r="D202" s="2">
        <v>340.67</v>
      </c>
      <c r="E202" s="2">
        <v>344.62</v>
      </c>
      <c r="F202" s="2">
        <v>342.77</v>
      </c>
      <c r="G202" s="3">
        <v>3931200</v>
      </c>
    </row>
    <row r="203" spans="1:7" x14ac:dyDescent="0.3">
      <c r="A203" s="1">
        <v>45740</v>
      </c>
      <c r="B203" s="2">
        <v>338.65</v>
      </c>
      <c r="C203" s="2">
        <v>345.22</v>
      </c>
      <c r="D203" s="2">
        <v>337.65</v>
      </c>
      <c r="E203" s="2">
        <v>343.87</v>
      </c>
      <c r="F203" s="2">
        <v>342.02</v>
      </c>
      <c r="G203" s="3">
        <v>5675100</v>
      </c>
    </row>
    <row r="204" spans="1:7" x14ac:dyDescent="0.3">
      <c r="A204" s="1">
        <v>45737</v>
      </c>
      <c r="B204" s="2">
        <v>337.37</v>
      </c>
      <c r="C204" s="2">
        <v>339.43</v>
      </c>
      <c r="D204" s="2">
        <v>335.52</v>
      </c>
      <c r="E204" s="2">
        <v>335.66</v>
      </c>
      <c r="F204" s="2">
        <v>333.85</v>
      </c>
      <c r="G204" s="3">
        <v>17279700</v>
      </c>
    </row>
    <row r="205" spans="1:7" x14ac:dyDescent="0.3">
      <c r="A205" s="1">
        <v>45736</v>
      </c>
      <c r="B205" s="2">
        <v>339</v>
      </c>
      <c r="C205" s="2">
        <v>342.24</v>
      </c>
      <c r="D205" s="2">
        <v>337.66</v>
      </c>
      <c r="E205" s="2">
        <v>339.5</v>
      </c>
      <c r="F205" s="2">
        <v>337.67</v>
      </c>
      <c r="G205" s="3">
        <v>5432700</v>
      </c>
    </row>
    <row r="206" spans="1:7" x14ac:dyDescent="0.3">
      <c r="A206" s="1">
        <v>45735</v>
      </c>
      <c r="B206" s="2">
        <v>336.8</v>
      </c>
      <c r="C206" s="2">
        <v>341.03</v>
      </c>
      <c r="D206" s="2">
        <v>334.5</v>
      </c>
      <c r="E206" s="2">
        <v>339.87</v>
      </c>
      <c r="F206" s="2">
        <v>338.04</v>
      </c>
      <c r="G206" s="3">
        <v>5614900</v>
      </c>
    </row>
    <row r="207" spans="1:7" x14ac:dyDescent="0.3">
      <c r="A207" s="1">
        <v>45734</v>
      </c>
      <c r="B207" s="2">
        <v>335.29</v>
      </c>
      <c r="C207" s="2">
        <v>335.8</v>
      </c>
      <c r="D207" s="2">
        <v>332.3</v>
      </c>
      <c r="E207" s="2">
        <v>334.77</v>
      </c>
      <c r="F207" s="2">
        <v>332.97</v>
      </c>
      <c r="G207" s="3">
        <v>7778300</v>
      </c>
    </row>
    <row r="208" spans="1:7" x14ac:dyDescent="0.3">
      <c r="A208" s="1">
        <v>45733</v>
      </c>
      <c r="B208" s="2">
        <v>330.03</v>
      </c>
      <c r="C208" s="2">
        <v>336.11</v>
      </c>
      <c r="D208" s="2">
        <v>329.76</v>
      </c>
      <c r="E208" s="2">
        <v>334.55</v>
      </c>
      <c r="F208" s="2">
        <v>332.75</v>
      </c>
      <c r="G208" s="3">
        <v>6149400</v>
      </c>
    </row>
    <row r="209" spans="1:7" x14ac:dyDescent="0.3">
      <c r="A209" s="1">
        <v>45730</v>
      </c>
      <c r="B209" s="2">
        <v>327.20999999999998</v>
      </c>
      <c r="C209" s="2">
        <v>332.77</v>
      </c>
      <c r="D209" s="2">
        <v>326.38</v>
      </c>
      <c r="E209" s="2">
        <v>331.8</v>
      </c>
      <c r="F209" s="2">
        <v>330.01</v>
      </c>
      <c r="G209" s="3">
        <v>7810600</v>
      </c>
    </row>
    <row r="210" spans="1:7" x14ac:dyDescent="0.3">
      <c r="A210" s="1">
        <v>45729</v>
      </c>
      <c r="B210" s="2">
        <v>330.99</v>
      </c>
      <c r="C210" s="2">
        <v>336.2</v>
      </c>
      <c r="D210" s="2">
        <v>327.7</v>
      </c>
      <c r="E210" s="2">
        <v>328.55</v>
      </c>
      <c r="F210" s="2">
        <v>326.77999999999997</v>
      </c>
      <c r="G210" s="3">
        <v>7915300</v>
      </c>
    </row>
    <row r="211" spans="1:7" x14ac:dyDescent="0.3">
      <c r="A211" s="1">
        <v>45728</v>
      </c>
      <c r="B211" s="2">
        <v>335.97</v>
      </c>
      <c r="C211" s="2">
        <v>336.16</v>
      </c>
      <c r="D211" s="2">
        <v>329.11</v>
      </c>
      <c r="E211" s="2">
        <v>332.84</v>
      </c>
      <c r="F211" s="2">
        <v>331.05</v>
      </c>
      <c r="G211" s="3">
        <v>6295400</v>
      </c>
    </row>
    <row r="212" spans="1:7" x14ac:dyDescent="0.3">
      <c r="A212" s="1">
        <v>45727</v>
      </c>
      <c r="B212" s="2">
        <v>338.41</v>
      </c>
      <c r="C212" s="2">
        <v>339.61</v>
      </c>
      <c r="D212" s="2">
        <v>329.58</v>
      </c>
      <c r="E212" s="2">
        <v>332.14</v>
      </c>
      <c r="F212" s="2">
        <v>330.35</v>
      </c>
      <c r="G212" s="3">
        <v>9776100</v>
      </c>
    </row>
    <row r="213" spans="1:7" x14ac:dyDescent="0.3">
      <c r="A213" s="1">
        <v>45726</v>
      </c>
      <c r="B213" s="2">
        <v>339.94</v>
      </c>
      <c r="C213" s="2">
        <v>345.01</v>
      </c>
      <c r="D213" s="2">
        <v>337.64</v>
      </c>
      <c r="E213" s="2">
        <v>341.48</v>
      </c>
      <c r="F213" s="2">
        <v>339.64</v>
      </c>
      <c r="G213" s="3">
        <v>8204300</v>
      </c>
    </row>
    <row r="214" spans="1:7" x14ac:dyDescent="0.3">
      <c r="A214" s="1">
        <v>45723</v>
      </c>
      <c r="B214" s="2">
        <v>340.87</v>
      </c>
      <c r="C214" s="2">
        <v>346.39</v>
      </c>
      <c r="D214" s="2">
        <v>339.14</v>
      </c>
      <c r="E214" s="2">
        <v>345.32</v>
      </c>
      <c r="F214" s="2">
        <v>343.46</v>
      </c>
      <c r="G214" s="3">
        <v>6358700</v>
      </c>
    </row>
    <row r="215" spans="1:7" x14ac:dyDescent="0.3">
      <c r="A215" s="1">
        <v>45722</v>
      </c>
      <c r="B215" s="2">
        <v>345.96</v>
      </c>
      <c r="C215" s="2">
        <v>348.87</v>
      </c>
      <c r="D215" s="2">
        <v>340.39</v>
      </c>
      <c r="E215" s="2">
        <v>344.16</v>
      </c>
      <c r="F215" s="2">
        <v>342.31</v>
      </c>
      <c r="G215" s="3">
        <v>8611100</v>
      </c>
    </row>
    <row r="216" spans="1:7" x14ac:dyDescent="0.3">
      <c r="A216" s="1">
        <v>45721</v>
      </c>
      <c r="B216" s="2">
        <v>350.83</v>
      </c>
      <c r="C216" s="2">
        <v>354.11</v>
      </c>
      <c r="D216" s="2">
        <v>348.94</v>
      </c>
      <c r="E216" s="2">
        <v>352.68</v>
      </c>
      <c r="F216" s="2">
        <v>350.78</v>
      </c>
      <c r="G216" s="3">
        <v>8244200</v>
      </c>
    </row>
    <row r="217" spans="1:7" x14ac:dyDescent="0.3">
      <c r="A217" s="1">
        <v>45720</v>
      </c>
      <c r="B217" s="2">
        <v>360.11</v>
      </c>
      <c r="C217" s="2">
        <v>360.27</v>
      </c>
      <c r="D217" s="2">
        <v>350.4</v>
      </c>
      <c r="E217" s="2">
        <v>352.23</v>
      </c>
      <c r="F217" s="2">
        <v>350.33</v>
      </c>
      <c r="G217" s="3">
        <v>8955800</v>
      </c>
    </row>
    <row r="218" spans="1:7" x14ac:dyDescent="0.3">
      <c r="A218" s="1">
        <v>45719</v>
      </c>
      <c r="B218" s="2">
        <v>363</v>
      </c>
      <c r="C218" s="2">
        <v>366.54</v>
      </c>
      <c r="D218" s="2">
        <v>359.54</v>
      </c>
      <c r="E218" s="2">
        <v>361.82</v>
      </c>
      <c r="F218" s="2">
        <v>359.87</v>
      </c>
      <c r="G218" s="3">
        <v>9099600</v>
      </c>
    </row>
    <row r="219" spans="1:7" x14ac:dyDescent="0.3">
      <c r="A219" s="1">
        <v>45716</v>
      </c>
      <c r="B219" s="2">
        <v>354.71</v>
      </c>
      <c r="C219" s="2">
        <v>364</v>
      </c>
      <c r="D219" s="2">
        <v>353.71</v>
      </c>
      <c r="E219" s="2">
        <v>362.71</v>
      </c>
      <c r="F219" s="2">
        <v>360.76</v>
      </c>
      <c r="G219" s="3">
        <v>15857300</v>
      </c>
    </row>
    <row r="220" spans="1:7" x14ac:dyDescent="0.3">
      <c r="A220" s="1">
        <v>45715</v>
      </c>
      <c r="B220" s="2">
        <v>351.9</v>
      </c>
      <c r="C220" s="2">
        <v>360.31</v>
      </c>
      <c r="D220" s="2">
        <v>351.68</v>
      </c>
      <c r="E220" s="2">
        <v>355.74</v>
      </c>
      <c r="F220" s="2">
        <v>353.83</v>
      </c>
      <c r="G220" s="3">
        <v>7298100</v>
      </c>
    </row>
    <row r="221" spans="1:7" x14ac:dyDescent="0.3">
      <c r="A221" s="1">
        <v>45714</v>
      </c>
      <c r="B221" s="2">
        <v>350</v>
      </c>
      <c r="C221" s="2">
        <v>351.83</v>
      </c>
      <c r="D221" s="2">
        <v>348.99</v>
      </c>
      <c r="E221" s="2">
        <v>350.63</v>
      </c>
      <c r="F221" s="2">
        <v>348.74</v>
      </c>
      <c r="G221" s="3">
        <v>5960600</v>
      </c>
    </row>
    <row r="222" spans="1:7" x14ac:dyDescent="0.3">
      <c r="A222" s="1">
        <v>45713</v>
      </c>
      <c r="B222" s="2">
        <v>351.37</v>
      </c>
      <c r="C222" s="2">
        <v>352.59</v>
      </c>
      <c r="D222" s="2">
        <v>346</v>
      </c>
      <c r="E222" s="2">
        <v>352.09</v>
      </c>
      <c r="F222" s="2">
        <v>350.2</v>
      </c>
      <c r="G222" s="3">
        <v>6191900</v>
      </c>
    </row>
    <row r="223" spans="1:7" x14ac:dyDescent="0.3">
      <c r="A223" s="1">
        <v>45712</v>
      </c>
      <c r="B223" s="2">
        <v>348.76</v>
      </c>
      <c r="C223" s="2">
        <v>350.8</v>
      </c>
      <c r="D223" s="2">
        <v>347.36</v>
      </c>
      <c r="E223" s="2">
        <v>349.86</v>
      </c>
      <c r="F223" s="2">
        <v>347.98</v>
      </c>
      <c r="G223" s="3">
        <v>5055900</v>
      </c>
    </row>
    <row r="224" spans="1:7" x14ac:dyDescent="0.3">
      <c r="A224" s="1">
        <v>45709</v>
      </c>
      <c r="B224" s="2">
        <v>350.49</v>
      </c>
      <c r="C224" s="2">
        <v>353.32</v>
      </c>
      <c r="D224" s="2">
        <v>347.48</v>
      </c>
      <c r="E224" s="2">
        <v>348.53</v>
      </c>
      <c r="F224" s="2">
        <v>346.65</v>
      </c>
      <c r="G224" s="3">
        <v>6924100</v>
      </c>
    </row>
    <row r="225" spans="1:7" x14ac:dyDescent="0.3">
      <c r="A225" s="1">
        <v>45708</v>
      </c>
      <c r="B225" s="2">
        <v>355.23</v>
      </c>
      <c r="C225" s="2">
        <v>356.13</v>
      </c>
      <c r="D225" s="2">
        <v>349.06</v>
      </c>
      <c r="E225" s="2">
        <v>350.49</v>
      </c>
      <c r="F225" s="2">
        <v>348.6</v>
      </c>
      <c r="G225" s="3">
        <v>5697000</v>
      </c>
    </row>
    <row r="226" spans="1:7" x14ac:dyDescent="0.3">
      <c r="A226" s="1">
        <v>45707</v>
      </c>
      <c r="B226" s="2">
        <v>356.02</v>
      </c>
      <c r="C226" s="2">
        <v>357.15</v>
      </c>
      <c r="D226" s="2">
        <v>354.18</v>
      </c>
      <c r="E226" s="2">
        <v>355.23</v>
      </c>
      <c r="F226" s="2">
        <v>353.32</v>
      </c>
      <c r="G226" s="3">
        <v>4152300</v>
      </c>
    </row>
    <row r="227" spans="1:7" x14ac:dyDescent="0.3">
      <c r="A227" s="1">
        <v>45706</v>
      </c>
      <c r="B227" s="2">
        <v>353.69</v>
      </c>
      <c r="C227" s="2">
        <v>356.74</v>
      </c>
      <c r="D227" s="2">
        <v>352.4</v>
      </c>
      <c r="E227" s="2">
        <v>356.73</v>
      </c>
      <c r="F227" s="2">
        <v>354.81</v>
      </c>
      <c r="G227" s="3">
        <v>5822000</v>
      </c>
    </row>
    <row r="228" spans="1:7" x14ac:dyDescent="0.3">
      <c r="A228" s="1">
        <v>45702</v>
      </c>
      <c r="B228" s="2">
        <v>354.43</v>
      </c>
      <c r="C228" s="2">
        <v>355.43</v>
      </c>
      <c r="D228" s="2">
        <v>353.22</v>
      </c>
      <c r="E228" s="2">
        <v>353.81</v>
      </c>
      <c r="F228" s="2">
        <v>351.91</v>
      </c>
      <c r="G228" s="3">
        <v>5720300</v>
      </c>
    </row>
    <row r="229" spans="1:7" x14ac:dyDescent="0.3">
      <c r="A229" s="1">
        <v>45701</v>
      </c>
      <c r="B229" s="2">
        <v>353.12</v>
      </c>
      <c r="C229" s="2">
        <v>356.08</v>
      </c>
      <c r="D229" s="2">
        <v>350.73</v>
      </c>
      <c r="E229" s="2">
        <v>355.63</v>
      </c>
      <c r="F229" s="2">
        <v>353.72</v>
      </c>
      <c r="G229" s="3">
        <v>4279200</v>
      </c>
    </row>
    <row r="230" spans="1:7" x14ac:dyDescent="0.3">
      <c r="A230" s="1">
        <v>45700</v>
      </c>
      <c r="B230" s="2">
        <v>349.16</v>
      </c>
      <c r="C230" s="2">
        <v>351.83</v>
      </c>
      <c r="D230" s="2">
        <v>347.49</v>
      </c>
      <c r="E230" s="2">
        <v>351.49</v>
      </c>
      <c r="F230" s="2">
        <v>349.6</v>
      </c>
      <c r="G230" s="3">
        <v>6760100</v>
      </c>
    </row>
    <row r="231" spans="1:7" x14ac:dyDescent="0.3">
      <c r="A231" s="1">
        <v>45699</v>
      </c>
      <c r="B231" s="2">
        <v>348.3</v>
      </c>
      <c r="C231" s="2">
        <v>352.12</v>
      </c>
      <c r="D231" s="2">
        <v>346.25</v>
      </c>
      <c r="E231" s="2">
        <v>350.72</v>
      </c>
      <c r="F231" s="2">
        <v>348.83</v>
      </c>
      <c r="G231" s="3">
        <v>5154800</v>
      </c>
    </row>
    <row r="232" spans="1:7" x14ac:dyDescent="0.3">
      <c r="A232" s="1">
        <v>45698</v>
      </c>
      <c r="B232" s="2">
        <v>348.7</v>
      </c>
      <c r="C232" s="2">
        <v>351.9</v>
      </c>
      <c r="D232" s="2">
        <v>347.7</v>
      </c>
      <c r="E232" s="2">
        <v>351.23</v>
      </c>
      <c r="F232" s="2">
        <v>348.75</v>
      </c>
      <c r="G232" s="3">
        <v>6067000</v>
      </c>
    </row>
    <row r="233" spans="1:7" x14ac:dyDescent="0.3">
      <c r="A233" s="1">
        <v>45695</v>
      </c>
      <c r="B233" s="2">
        <v>348</v>
      </c>
      <c r="C233" s="2">
        <v>350.75</v>
      </c>
      <c r="D233" s="2">
        <v>347.21</v>
      </c>
      <c r="E233" s="2">
        <v>348.02</v>
      </c>
      <c r="F233" s="2">
        <v>345.57</v>
      </c>
      <c r="G233" s="3">
        <v>4261200</v>
      </c>
    </row>
    <row r="234" spans="1:7" x14ac:dyDescent="0.3">
      <c r="A234" s="1">
        <v>45694</v>
      </c>
      <c r="B234" s="2">
        <v>349.78</v>
      </c>
      <c r="C234" s="2">
        <v>350.65</v>
      </c>
      <c r="D234" s="2">
        <v>346.6</v>
      </c>
      <c r="E234" s="2">
        <v>347.48</v>
      </c>
      <c r="F234" s="2">
        <v>345.03</v>
      </c>
      <c r="G234" s="3">
        <v>4294500</v>
      </c>
    </row>
    <row r="235" spans="1:7" x14ac:dyDescent="0.3">
      <c r="A235" s="1">
        <v>45693</v>
      </c>
      <c r="B235" s="2">
        <v>346</v>
      </c>
      <c r="C235" s="2">
        <v>349.48</v>
      </c>
      <c r="D235" s="2">
        <v>345.25</v>
      </c>
      <c r="E235" s="2">
        <v>349.44</v>
      </c>
      <c r="F235" s="2">
        <v>346.98</v>
      </c>
      <c r="G235" s="3">
        <v>4939100</v>
      </c>
    </row>
    <row r="236" spans="1:7" x14ac:dyDescent="0.3">
      <c r="A236" s="1">
        <v>45692</v>
      </c>
      <c r="B236" s="2">
        <v>344.6</v>
      </c>
      <c r="C236" s="2">
        <v>346.01</v>
      </c>
      <c r="D236" s="2">
        <v>342.54</v>
      </c>
      <c r="E236" s="2">
        <v>345.15</v>
      </c>
      <c r="F236" s="2">
        <v>342.72</v>
      </c>
      <c r="G236" s="3">
        <v>5532600</v>
      </c>
    </row>
    <row r="237" spans="1:7" x14ac:dyDescent="0.3">
      <c r="A237" s="1">
        <v>45691</v>
      </c>
      <c r="B237" s="2">
        <v>340</v>
      </c>
      <c r="C237" s="2">
        <v>346</v>
      </c>
      <c r="D237" s="2">
        <v>339.24</v>
      </c>
      <c r="E237" s="2">
        <v>345.82</v>
      </c>
      <c r="F237" s="2">
        <v>343.38</v>
      </c>
      <c r="G237" s="3">
        <v>8004500</v>
      </c>
    </row>
    <row r="238" spans="1:7" x14ac:dyDescent="0.3">
      <c r="A238" s="1">
        <v>45688</v>
      </c>
      <c r="B238" s="2">
        <v>346.47</v>
      </c>
      <c r="C238" s="2">
        <v>351.25</v>
      </c>
      <c r="D238" s="2">
        <v>341.71</v>
      </c>
      <c r="E238" s="2">
        <v>341.8</v>
      </c>
      <c r="F238" s="2">
        <v>339.39</v>
      </c>
      <c r="G238" s="3">
        <v>8624100</v>
      </c>
    </row>
    <row r="239" spans="1:7" x14ac:dyDescent="0.3">
      <c r="A239" s="1">
        <v>45687</v>
      </c>
      <c r="B239" s="2">
        <v>339.51</v>
      </c>
      <c r="C239" s="2">
        <v>344.44</v>
      </c>
      <c r="D239" s="2">
        <v>339</v>
      </c>
      <c r="E239" s="2">
        <v>343.05</v>
      </c>
      <c r="F239" s="2">
        <v>340.63</v>
      </c>
      <c r="G239" s="3">
        <v>8081300</v>
      </c>
    </row>
    <row r="240" spans="1:7" x14ac:dyDescent="0.3">
      <c r="A240" s="1">
        <v>45686</v>
      </c>
      <c r="B240" s="2">
        <v>334.5</v>
      </c>
      <c r="C240" s="2">
        <v>337.11</v>
      </c>
      <c r="D240" s="2">
        <v>334.5</v>
      </c>
      <c r="E240" s="2">
        <v>335.88</v>
      </c>
      <c r="F240" s="2">
        <v>333.51</v>
      </c>
      <c r="G240" s="3">
        <v>5087300</v>
      </c>
    </row>
    <row r="241" spans="1:7" x14ac:dyDescent="0.3">
      <c r="A241" s="1">
        <v>45685</v>
      </c>
      <c r="B241" s="2">
        <v>334.67</v>
      </c>
      <c r="C241" s="2">
        <v>337.83</v>
      </c>
      <c r="D241" s="2">
        <v>332.89</v>
      </c>
      <c r="E241" s="2">
        <v>334.48</v>
      </c>
      <c r="F241" s="2">
        <v>332.12</v>
      </c>
      <c r="G241" s="3">
        <v>5899600</v>
      </c>
    </row>
    <row r="242" spans="1:7" x14ac:dyDescent="0.3">
      <c r="A242" s="1">
        <v>45684</v>
      </c>
      <c r="B242" s="2">
        <v>330</v>
      </c>
      <c r="C242" s="2">
        <v>335.49</v>
      </c>
      <c r="D242" s="2">
        <v>328.05</v>
      </c>
      <c r="E242" s="2">
        <v>334.54</v>
      </c>
      <c r="F242" s="2">
        <v>332.18</v>
      </c>
      <c r="G242" s="3">
        <v>6636500</v>
      </c>
    </row>
    <row r="243" spans="1:7" x14ac:dyDescent="0.3">
      <c r="A243" s="1">
        <v>45681</v>
      </c>
      <c r="B243" s="2">
        <v>328.02</v>
      </c>
      <c r="C243" s="2">
        <v>331.09</v>
      </c>
      <c r="D243" s="2">
        <v>327.81</v>
      </c>
      <c r="E243" s="2">
        <v>330.2</v>
      </c>
      <c r="F243" s="2">
        <v>327.87</v>
      </c>
      <c r="G243" s="3">
        <v>4327500</v>
      </c>
    </row>
    <row r="244" spans="1:7" x14ac:dyDescent="0.3">
      <c r="A244" s="1">
        <v>45680</v>
      </c>
      <c r="B244" s="2">
        <v>323.76</v>
      </c>
      <c r="C244" s="2">
        <v>328.51</v>
      </c>
      <c r="D244" s="2">
        <v>323.57</v>
      </c>
      <c r="E244" s="2">
        <v>328.21</v>
      </c>
      <c r="F244" s="2">
        <v>325.89999999999998</v>
      </c>
      <c r="G244" s="3">
        <v>5297100</v>
      </c>
    </row>
    <row r="245" spans="1:7" x14ac:dyDescent="0.3">
      <c r="A245" s="1">
        <v>45679</v>
      </c>
      <c r="B245" s="2">
        <v>324.77</v>
      </c>
      <c r="C245" s="2">
        <v>325.74</v>
      </c>
      <c r="D245" s="2">
        <v>322.38</v>
      </c>
      <c r="E245" s="2">
        <v>323.56</v>
      </c>
      <c r="F245" s="2">
        <v>321.27999999999997</v>
      </c>
      <c r="G245" s="3">
        <v>5026500</v>
      </c>
    </row>
    <row r="246" spans="1:7" x14ac:dyDescent="0.3">
      <c r="A246" s="1">
        <v>45678</v>
      </c>
      <c r="B246" s="2">
        <v>320.31</v>
      </c>
      <c r="C246" s="2">
        <v>324.58</v>
      </c>
      <c r="D246" s="2">
        <v>320</v>
      </c>
      <c r="E246" s="2">
        <v>323.63</v>
      </c>
      <c r="F246" s="2">
        <v>321.35000000000002</v>
      </c>
      <c r="G246" s="3">
        <v>5653000</v>
      </c>
    </row>
    <row r="247" spans="1:7" x14ac:dyDescent="0.3">
      <c r="A247" s="1">
        <v>45674</v>
      </c>
      <c r="B247" s="2">
        <v>317.5</v>
      </c>
      <c r="C247" s="2">
        <v>320.58999999999997</v>
      </c>
      <c r="D247" s="2">
        <v>316.70999999999998</v>
      </c>
      <c r="E247" s="2">
        <v>319.62</v>
      </c>
      <c r="F247" s="2">
        <v>317.37</v>
      </c>
      <c r="G247" s="3">
        <v>5805800</v>
      </c>
    </row>
    <row r="248" spans="1:7" x14ac:dyDescent="0.3">
      <c r="A248" s="1">
        <v>45673</v>
      </c>
      <c r="B248" s="2">
        <v>315.75</v>
      </c>
      <c r="C248" s="2">
        <v>319.18</v>
      </c>
      <c r="D248" s="2">
        <v>315.75</v>
      </c>
      <c r="E248" s="2">
        <v>317.25</v>
      </c>
      <c r="F248" s="2">
        <v>315.01</v>
      </c>
      <c r="G248" s="3">
        <v>4606700</v>
      </c>
    </row>
    <row r="249" spans="1:7" x14ac:dyDescent="0.3">
      <c r="A249" s="1">
        <v>45672</v>
      </c>
      <c r="B249" s="2">
        <v>313.68</v>
      </c>
      <c r="C249" s="2">
        <v>317.19</v>
      </c>
      <c r="D249" s="2">
        <v>313.13</v>
      </c>
      <c r="E249" s="2">
        <v>316.27999999999997</v>
      </c>
      <c r="F249" s="2">
        <v>314.05</v>
      </c>
      <c r="G249" s="3">
        <v>5222000</v>
      </c>
    </row>
    <row r="250" spans="1:7" x14ac:dyDescent="0.3">
      <c r="A250" s="1">
        <v>45671</v>
      </c>
      <c r="B250" s="2">
        <v>308.75</v>
      </c>
      <c r="C250" s="2">
        <v>310.16000000000003</v>
      </c>
      <c r="D250" s="2">
        <v>307.52</v>
      </c>
      <c r="E250" s="2">
        <v>309.08999999999997</v>
      </c>
      <c r="F250" s="2">
        <v>306.91000000000003</v>
      </c>
      <c r="G250" s="3">
        <v>5107600</v>
      </c>
    </row>
    <row r="251" spans="1:7" x14ac:dyDescent="0.3">
      <c r="A251" s="1">
        <v>45670</v>
      </c>
      <c r="B251" s="2">
        <v>305</v>
      </c>
      <c r="C251" s="2">
        <v>306.92</v>
      </c>
      <c r="D251" s="2">
        <v>303.83999999999997</v>
      </c>
      <c r="E251" s="2">
        <v>306.92</v>
      </c>
      <c r="F251" s="2">
        <v>304.76</v>
      </c>
      <c r="G251" s="3">
        <v>9568400</v>
      </c>
    </row>
    <row r="252" spans="1:7" x14ac:dyDescent="0.3">
      <c r="A252" s="1">
        <v>45667</v>
      </c>
      <c r="B252" s="2">
        <v>311.2</v>
      </c>
      <c r="C252" s="2">
        <v>311.85000000000002</v>
      </c>
      <c r="D252" s="2">
        <v>305.99</v>
      </c>
      <c r="E252" s="2">
        <v>307.70999999999998</v>
      </c>
      <c r="F252" s="2">
        <v>305.54000000000002</v>
      </c>
      <c r="G252" s="3">
        <v>6660100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52"/>
  <sheetViews>
    <sheetView workbookViewId="0">
      <selection activeCell="A253" sqref="A253"/>
    </sheetView>
  </sheetViews>
  <sheetFormatPr defaultRowHeight="14.4" x14ac:dyDescent="0.3"/>
  <cols>
    <col min="1" max="1" width="14.33203125" customWidth="1"/>
    <col min="6" max="6" width="11.88671875" customWidth="1"/>
    <col min="7" max="7" width="13.109375" customWidth="1"/>
  </cols>
  <sheetData>
    <row r="1" spans="1:7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7" x14ac:dyDescent="0.3">
      <c r="A2" s="1">
        <v>46031</v>
      </c>
      <c r="B2" s="2">
        <v>123.23</v>
      </c>
      <c r="C2" s="2">
        <v>124.86</v>
      </c>
      <c r="D2" s="2">
        <v>123.1</v>
      </c>
      <c r="E2" s="2">
        <v>124.61</v>
      </c>
      <c r="F2" s="2">
        <v>124.61</v>
      </c>
      <c r="G2" s="3">
        <v>16131600</v>
      </c>
    </row>
    <row r="3" spans="1:7" x14ac:dyDescent="0.3">
      <c r="A3" s="1">
        <v>46030</v>
      </c>
      <c r="B3" s="2">
        <v>118.98</v>
      </c>
      <c r="C3" s="2">
        <v>123.63</v>
      </c>
      <c r="D3" s="2">
        <v>118.66</v>
      </c>
      <c r="E3" s="2">
        <v>122.91</v>
      </c>
      <c r="F3" s="2">
        <v>122.91</v>
      </c>
      <c r="G3" s="3">
        <v>20232700</v>
      </c>
    </row>
    <row r="4" spans="1:7" x14ac:dyDescent="0.3">
      <c r="A4" s="1">
        <v>46029</v>
      </c>
      <c r="B4" s="2">
        <v>119.8</v>
      </c>
      <c r="C4" s="2">
        <v>120.12</v>
      </c>
      <c r="D4" s="2">
        <v>118.27</v>
      </c>
      <c r="E4" s="2">
        <v>118.49</v>
      </c>
      <c r="F4" s="2">
        <v>118.49</v>
      </c>
      <c r="G4" s="3">
        <v>20353000</v>
      </c>
    </row>
    <row r="5" spans="1:7" x14ac:dyDescent="0.3">
      <c r="A5" s="1">
        <v>46028</v>
      </c>
      <c r="B5" s="2">
        <v>125.35</v>
      </c>
      <c r="C5" s="2">
        <v>125.8</v>
      </c>
      <c r="D5" s="2">
        <v>121</v>
      </c>
      <c r="E5" s="2">
        <v>121.05</v>
      </c>
      <c r="F5" s="2">
        <v>121.05</v>
      </c>
      <c r="G5" s="3">
        <v>23328600</v>
      </c>
    </row>
    <row r="6" spans="1:7" x14ac:dyDescent="0.3">
      <c r="A6" s="1">
        <v>46027</v>
      </c>
      <c r="B6" s="2">
        <v>125.21</v>
      </c>
      <c r="C6" s="2">
        <v>125.93</v>
      </c>
      <c r="D6" s="2">
        <v>122.39</v>
      </c>
      <c r="E6" s="2">
        <v>125.36</v>
      </c>
      <c r="F6" s="2">
        <v>125.36</v>
      </c>
      <c r="G6" s="3">
        <v>30112200</v>
      </c>
    </row>
    <row r="7" spans="1:7" x14ac:dyDescent="0.3">
      <c r="A7" s="1">
        <v>46024</v>
      </c>
      <c r="B7" s="2">
        <v>120.09</v>
      </c>
      <c r="C7" s="2">
        <v>122.68</v>
      </c>
      <c r="D7" s="2">
        <v>119.61</v>
      </c>
      <c r="E7" s="2">
        <v>122.65</v>
      </c>
      <c r="F7" s="2">
        <v>122.65</v>
      </c>
      <c r="G7" s="3">
        <v>14715100</v>
      </c>
    </row>
    <row r="8" spans="1:7" x14ac:dyDescent="0.3">
      <c r="A8" s="1">
        <v>46022</v>
      </c>
      <c r="B8" s="2">
        <v>121.18</v>
      </c>
      <c r="C8" s="2">
        <v>121.26</v>
      </c>
      <c r="D8" s="2">
        <v>119.87</v>
      </c>
      <c r="E8" s="2">
        <v>120.34</v>
      </c>
      <c r="F8" s="2">
        <v>120.34</v>
      </c>
      <c r="G8" s="3">
        <v>10559900</v>
      </c>
    </row>
    <row r="9" spans="1:7" x14ac:dyDescent="0.3">
      <c r="A9" s="1">
        <v>46021</v>
      </c>
      <c r="B9" s="2">
        <v>121.1</v>
      </c>
      <c r="C9" s="2">
        <v>121.8</v>
      </c>
      <c r="D9" s="2">
        <v>120.63</v>
      </c>
      <c r="E9" s="2">
        <v>120.99</v>
      </c>
      <c r="F9" s="2">
        <v>120.99</v>
      </c>
      <c r="G9" s="3">
        <v>11150500</v>
      </c>
    </row>
    <row r="10" spans="1:7" x14ac:dyDescent="0.3">
      <c r="A10" s="1">
        <v>46020</v>
      </c>
      <c r="B10" s="2">
        <v>120.15</v>
      </c>
      <c r="C10" s="2">
        <v>121.3</v>
      </c>
      <c r="D10" s="2">
        <v>119.4</v>
      </c>
      <c r="E10" s="2">
        <v>120.53</v>
      </c>
      <c r="F10" s="2">
        <v>120.53</v>
      </c>
      <c r="G10" s="3">
        <v>14782500</v>
      </c>
    </row>
    <row r="11" spans="1:7" x14ac:dyDescent="0.3">
      <c r="A11" s="1">
        <v>46017</v>
      </c>
      <c r="B11" s="2">
        <v>118.89</v>
      </c>
      <c r="C11" s="2">
        <v>119.55</v>
      </c>
      <c r="D11" s="2">
        <v>118.53</v>
      </c>
      <c r="E11" s="2">
        <v>119.11</v>
      </c>
      <c r="F11" s="2">
        <v>119.11</v>
      </c>
      <c r="G11" s="3">
        <v>8066100</v>
      </c>
    </row>
    <row r="12" spans="1:7" x14ac:dyDescent="0.3">
      <c r="A12" s="1">
        <v>46015</v>
      </c>
      <c r="B12" s="2">
        <v>119.33</v>
      </c>
      <c r="C12" s="2">
        <v>120.05</v>
      </c>
      <c r="D12" s="2">
        <v>119.12</v>
      </c>
      <c r="E12" s="2">
        <v>119.22</v>
      </c>
      <c r="F12" s="2">
        <v>119.22</v>
      </c>
      <c r="G12" s="3">
        <v>6137400</v>
      </c>
    </row>
    <row r="13" spans="1:7" x14ac:dyDescent="0.3">
      <c r="A13" s="1">
        <v>46014</v>
      </c>
      <c r="B13" s="2">
        <v>118.47</v>
      </c>
      <c r="C13" s="2">
        <v>120.03</v>
      </c>
      <c r="D13" s="2">
        <v>118.32</v>
      </c>
      <c r="E13" s="2">
        <v>119.42</v>
      </c>
      <c r="F13" s="2">
        <v>119.42</v>
      </c>
      <c r="G13" s="3">
        <v>12567600</v>
      </c>
    </row>
    <row r="14" spans="1:7" x14ac:dyDescent="0.3">
      <c r="A14" s="1">
        <v>46013</v>
      </c>
      <c r="B14" s="2">
        <v>117.34</v>
      </c>
      <c r="C14" s="2">
        <v>118.46</v>
      </c>
      <c r="D14" s="2">
        <v>117.34</v>
      </c>
      <c r="E14" s="2">
        <v>118.15</v>
      </c>
      <c r="F14" s="2">
        <v>118.15</v>
      </c>
      <c r="G14" s="3">
        <v>11768600</v>
      </c>
    </row>
    <row r="15" spans="1:7" x14ac:dyDescent="0.3">
      <c r="A15" s="1">
        <v>46010</v>
      </c>
      <c r="B15" s="2">
        <v>116.75</v>
      </c>
      <c r="C15" s="2">
        <v>117.57</v>
      </c>
      <c r="D15" s="2">
        <v>115.96</v>
      </c>
      <c r="E15" s="2">
        <v>116.69</v>
      </c>
      <c r="F15" s="2">
        <v>116.69</v>
      </c>
      <c r="G15" s="3">
        <v>45412800</v>
      </c>
    </row>
    <row r="16" spans="1:7" x14ac:dyDescent="0.3">
      <c r="A16" s="1">
        <v>46009</v>
      </c>
      <c r="B16" s="2">
        <v>116.99</v>
      </c>
      <c r="C16" s="2">
        <v>116.99</v>
      </c>
      <c r="D16" s="2">
        <v>115.63</v>
      </c>
      <c r="E16" s="2">
        <v>116.54</v>
      </c>
      <c r="F16" s="2">
        <v>116.54</v>
      </c>
      <c r="G16" s="3">
        <v>13705600</v>
      </c>
    </row>
    <row r="17" spans="1:7" x14ac:dyDescent="0.3">
      <c r="A17" s="1">
        <v>46008</v>
      </c>
      <c r="B17" s="2">
        <v>115.21</v>
      </c>
      <c r="C17" s="2">
        <v>117.62</v>
      </c>
      <c r="D17" s="2">
        <v>115.17</v>
      </c>
      <c r="E17" s="2">
        <v>117.41</v>
      </c>
      <c r="F17" s="2">
        <v>117.41</v>
      </c>
      <c r="G17" s="3">
        <v>18502200</v>
      </c>
    </row>
    <row r="18" spans="1:7" x14ac:dyDescent="0.3">
      <c r="A18" s="1">
        <v>46007</v>
      </c>
      <c r="B18" s="2">
        <v>116.77</v>
      </c>
      <c r="C18" s="2">
        <v>116.84</v>
      </c>
      <c r="D18" s="2">
        <v>114.61</v>
      </c>
      <c r="E18" s="2">
        <v>114.68</v>
      </c>
      <c r="F18" s="2">
        <v>114.68</v>
      </c>
      <c r="G18" s="3">
        <v>17638700</v>
      </c>
    </row>
    <row r="19" spans="1:7" x14ac:dyDescent="0.3">
      <c r="A19" s="1">
        <v>46006</v>
      </c>
      <c r="B19" s="2">
        <v>119.01</v>
      </c>
      <c r="C19" s="2">
        <v>119.03</v>
      </c>
      <c r="D19" s="2">
        <v>116.85</v>
      </c>
      <c r="E19" s="2">
        <v>117.76</v>
      </c>
      <c r="F19" s="2">
        <v>117.76</v>
      </c>
      <c r="G19" s="3">
        <v>16358700</v>
      </c>
    </row>
    <row r="20" spans="1:7" x14ac:dyDescent="0.3">
      <c r="A20" s="1">
        <v>46003</v>
      </c>
      <c r="B20" s="2">
        <v>119.44</v>
      </c>
      <c r="C20" s="2">
        <v>119.92</v>
      </c>
      <c r="D20" s="2">
        <v>118.31</v>
      </c>
      <c r="E20" s="2">
        <v>118.82</v>
      </c>
      <c r="F20" s="2">
        <v>118.82</v>
      </c>
      <c r="G20" s="3">
        <v>14459500</v>
      </c>
    </row>
    <row r="21" spans="1:7" x14ac:dyDescent="0.3">
      <c r="A21" s="1">
        <v>46002</v>
      </c>
      <c r="B21" s="2">
        <v>119.11</v>
      </c>
      <c r="C21" s="2">
        <v>120.36</v>
      </c>
      <c r="D21" s="2">
        <v>119.07</v>
      </c>
      <c r="E21" s="2">
        <v>119.54</v>
      </c>
      <c r="F21" s="2">
        <v>119.54</v>
      </c>
      <c r="G21" s="3">
        <v>14781800</v>
      </c>
    </row>
    <row r="22" spans="1:7" x14ac:dyDescent="0.3">
      <c r="A22" s="1">
        <v>46001</v>
      </c>
      <c r="B22" s="2">
        <v>118.73</v>
      </c>
      <c r="C22" s="2">
        <v>119.87</v>
      </c>
      <c r="D22" s="2">
        <v>118.37</v>
      </c>
      <c r="E22" s="2">
        <v>119.54</v>
      </c>
      <c r="F22" s="2">
        <v>119.54</v>
      </c>
      <c r="G22" s="3">
        <v>19845200</v>
      </c>
    </row>
    <row r="23" spans="1:7" x14ac:dyDescent="0.3">
      <c r="A23" s="1">
        <v>46000</v>
      </c>
      <c r="B23" s="2">
        <v>116.9</v>
      </c>
      <c r="C23" s="2">
        <v>120.47</v>
      </c>
      <c r="D23" s="2">
        <v>116.89</v>
      </c>
      <c r="E23" s="2">
        <v>118.25</v>
      </c>
      <c r="F23" s="2">
        <v>118.25</v>
      </c>
      <c r="G23" s="3">
        <v>23790800</v>
      </c>
    </row>
    <row r="24" spans="1:7" x14ac:dyDescent="0.3">
      <c r="A24" s="1">
        <v>45999</v>
      </c>
      <c r="B24" s="2">
        <v>115.83</v>
      </c>
      <c r="C24" s="2">
        <v>117</v>
      </c>
      <c r="D24" s="2">
        <v>115.04</v>
      </c>
      <c r="E24" s="2">
        <v>115.98</v>
      </c>
      <c r="F24" s="2">
        <v>115.98</v>
      </c>
      <c r="G24" s="3">
        <v>14904200</v>
      </c>
    </row>
    <row r="25" spans="1:7" x14ac:dyDescent="0.3">
      <c r="A25" s="1">
        <v>45996</v>
      </c>
      <c r="B25" s="2">
        <v>116.75</v>
      </c>
      <c r="C25" s="2">
        <v>118.78</v>
      </c>
      <c r="D25" s="2">
        <v>116.41</v>
      </c>
      <c r="E25" s="2">
        <v>116.54</v>
      </c>
      <c r="F25" s="2">
        <v>116.54</v>
      </c>
      <c r="G25" s="3">
        <v>12516900</v>
      </c>
    </row>
    <row r="26" spans="1:7" x14ac:dyDescent="0.3">
      <c r="A26" s="1">
        <v>45995</v>
      </c>
      <c r="B26" s="2">
        <v>117.5</v>
      </c>
      <c r="C26" s="2">
        <v>118.34</v>
      </c>
      <c r="D26" s="2">
        <v>116.66</v>
      </c>
      <c r="E26" s="2">
        <v>117.14</v>
      </c>
      <c r="F26" s="2">
        <v>117.14</v>
      </c>
      <c r="G26" s="3">
        <v>13686900</v>
      </c>
    </row>
    <row r="27" spans="1:7" x14ac:dyDescent="0.3">
      <c r="A27" s="1">
        <v>45994</v>
      </c>
      <c r="B27" s="2">
        <v>115.95</v>
      </c>
      <c r="C27" s="2">
        <v>117.98</v>
      </c>
      <c r="D27" s="2">
        <v>115.88</v>
      </c>
      <c r="E27" s="2">
        <v>117.8</v>
      </c>
      <c r="F27" s="2">
        <v>117.8</v>
      </c>
      <c r="G27" s="3">
        <v>16819100</v>
      </c>
    </row>
    <row r="28" spans="1:7" x14ac:dyDescent="0.3">
      <c r="A28" s="1">
        <v>45993</v>
      </c>
      <c r="B28" s="2">
        <v>116.44</v>
      </c>
      <c r="C28" s="2">
        <v>116.6</v>
      </c>
      <c r="D28" s="2">
        <v>114.69</v>
      </c>
      <c r="E28" s="2">
        <v>115.38</v>
      </c>
      <c r="F28" s="2">
        <v>115.38</v>
      </c>
      <c r="G28" s="3">
        <v>14607700</v>
      </c>
    </row>
    <row r="29" spans="1:7" x14ac:dyDescent="0.3">
      <c r="A29" s="1">
        <v>45992</v>
      </c>
      <c r="B29" s="2">
        <v>116.1</v>
      </c>
      <c r="C29" s="2">
        <v>117.41</v>
      </c>
      <c r="D29" s="2">
        <v>116.1</v>
      </c>
      <c r="E29" s="2">
        <v>116.63</v>
      </c>
      <c r="F29" s="2">
        <v>116.63</v>
      </c>
      <c r="G29" s="3">
        <v>12658100</v>
      </c>
    </row>
    <row r="30" spans="1:7" x14ac:dyDescent="0.3">
      <c r="A30" s="1">
        <v>45989</v>
      </c>
      <c r="B30" s="2">
        <v>114.95</v>
      </c>
      <c r="C30" s="2">
        <v>118.74</v>
      </c>
      <c r="D30" s="2">
        <v>114.82</v>
      </c>
      <c r="E30" s="2">
        <v>115.92</v>
      </c>
      <c r="F30" s="2">
        <v>115.92</v>
      </c>
      <c r="G30" s="3">
        <v>7240800</v>
      </c>
    </row>
    <row r="31" spans="1:7" x14ac:dyDescent="0.3">
      <c r="A31" s="1">
        <v>45987</v>
      </c>
      <c r="B31" s="2">
        <v>114.41</v>
      </c>
      <c r="C31" s="2">
        <v>115.74</v>
      </c>
      <c r="D31" s="2">
        <v>114.31</v>
      </c>
      <c r="E31" s="2">
        <v>114.77</v>
      </c>
      <c r="F31" s="2">
        <v>114.77</v>
      </c>
      <c r="G31" s="3">
        <v>11650600</v>
      </c>
    </row>
    <row r="32" spans="1:7" x14ac:dyDescent="0.3">
      <c r="A32" s="1">
        <v>45986</v>
      </c>
      <c r="B32" s="2">
        <v>115.18</v>
      </c>
      <c r="C32" s="2">
        <v>115.9</v>
      </c>
      <c r="D32" s="2">
        <v>114.19</v>
      </c>
      <c r="E32" s="2">
        <v>114.51</v>
      </c>
      <c r="F32" s="2">
        <v>114.51</v>
      </c>
      <c r="G32" s="3">
        <v>14434600</v>
      </c>
    </row>
    <row r="33" spans="1:7" x14ac:dyDescent="0.3">
      <c r="A33" s="1">
        <v>45985</v>
      </c>
      <c r="B33" s="2">
        <v>117.2</v>
      </c>
      <c r="C33" s="2">
        <v>117.2</v>
      </c>
      <c r="D33" s="2">
        <v>114.74</v>
      </c>
      <c r="E33" s="2">
        <v>115.97</v>
      </c>
      <c r="F33" s="2">
        <v>115.97</v>
      </c>
      <c r="G33" s="3">
        <v>18034900</v>
      </c>
    </row>
    <row r="34" spans="1:7" x14ac:dyDescent="0.3">
      <c r="A34" s="1">
        <v>45982</v>
      </c>
      <c r="B34" s="2">
        <v>116.99</v>
      </c>
      <c r="C34" s="2">
        <v>117.38</v>
      </c>
      <c r="D34" s="2">
        <v>115.65</v>
      </c>
      <c r="E34" s="2">
        <v>117.08</v>
      </c>
      <c r="F34" s="2">
        <v>117.08</v>
      </c>
      <c r="G34" s="3">
        <v>15667600</v>
      </c>
    </row>
    <row r="35" spans="1:7" x14ac:dyDescent="0.3">
      <c r="A35" s="1">
        <v>45981</v>
      </c>
      <c r="B35" s="2">
        <v>117.98</v>
      </c>
      <c r="C35" s="2">
        <v>119.01</v>
      </c>
      <c r="D35" s="2">
        <v>116.74</v>
      </c>
      <c r="E35" s="2">
        <v>117.02</v>
      </c>
      <c r="F35" s="2">
        <v>117.02</v>
      </c>
      <c r="G35" s="3">
        <v>14401000</v>
      </c>
    </row>
    <row r="36" spans="1:7" x14ac:dyDescent="0.3">
      <c r="A36" s="1">
        <v>45980</v>
      </c>
      <c r="B36" s="2">
        <v>116.85</v>
      </c>
      <c r="C36" s="2">
        <v>118.18</v>
      </c>
      <c r="D36" s="2">
        <v>115.93</v>
      </c>
      <c r="E36" s="2">
        <v>117.35</v>
      </c>
      <c r="F36" s="2">
        <v>117.35</v>
      </c>
      <c r="G36" s="3">
        <v>15919200</v>
      </c>
    </row>
    <row r="37" spans="1:7" x14ac:dyDescent="0.3">
      <c r="A37" s="1">
        <v>45979</v>
      </c>
      <c r="B37" s="2">
        <v>117.26</v>
      </c>
      <c r="C37" s="2">
        <v>119.48</v>
      </c>
      <c r="D37" s="2">
        <v>116.48</v>
      </c>
      <c r="E37" s="2">
        <v>119.03</v>
      </c>
      <c r="F37" s="2">
        <v>119.03</v>
      </c>
      <c r="G37" s="3">
        <v>15808500</v>
      </c>
    </row>
    <row r="38" spans="1:7" x14ac:dyDescent="0.3">
      <c r="A38" s="1">
        <v>45978</v>
      </c>
      <c r="B38" s="2">
        <v>118.97</v>
      </c>
      <c r="C38" s="2">
        <v>119.5</v>
      </c>
      <c r="D38" s="2">
        <v>117.11</v>
      </c>
      <c r="E38" s="2">
        <v>117.68</v>
      </c>
      <c r="F38" s="2">
        <v>117.68</v>
      </c>
      <c r="G38" s="3">
        <v>16034900</v>
      </c>
    </row>
    <row r="39" spans="1:7" x14ac:dyDescent="0.3">
      <c r="A39" s="1">
        <v>45975</v>
      </c>
      <c r="B39" s="2">
        <v>118.45</v>
      </c>
      <c r="C39" s="2">
        <v>119.48</v>
      </c>
      <c r="D39" s="2">
        <v>116.66</v>
      </c>
      <c r="E39" s="2">
        <v>119.29</v>
      </c>
      <c r="F39" s="2">
        <v>119.29</v>
      </c>
      <c r="G39" s="3">
        <v>17064300</v>
      </c>
    </row>
    <row r="40" spans="1:7" x14ac:dyDescent="0.3">
      <c r="A40" s="1">
        <v>45974</v>
      </c>
      <c r="B40" s="2">
        <v>118.63</v>
      </c>
      <c r="C40" s="2">
        <v>119.76</v>
      </c>
      <c r="D40" s="2">
        <v>118.28</v>
      </c>
      <c r="E40" s="2">
        <v>118.79</v>
      </c>
      <c r="F40" s="2">
        <v>117.76</v>
      </c>
      <c r="G40" s="3">
        <v>17291900</v>
      </c>
    </row>
    <row r="41" spans="1:7" x14ac:dyDescent="0.3">
      <c r="A41" s="1">
        <v>45973</v>
      </c>
      <c r="B41" s="2">
        <v>119.1</v>
      </c>
      <c r="C41" s="2">
        <v>119.28</v>
      </c>
      <c r="D41" s="2">
        <v>117.79</v>
      </c>
      <c r="E41" s="2">
        <v>118.12</v>
      </c>
      <c r="F41" s="2">
        <v>117.1</v>
      </c>
      <c r="G41" s="3">
        <v>13790900</v>
      </c>
    </row>
    <row r="42" spans="1:7" x14ac:dyDescent="0.3">
      <c r="A42" s="1">
        <v>45972</v>
      </c>
      <c r="B42" s="2">
        <v>118.83</v>
      </c>
      <c r="C42" s="2">
        <v>120.81</v>
      </c>
      <c r="D42" s="2">
        <v>118.83</v>
      </c>
      <c r="E42" s="2">
        <v>119.78</v>
      </c>
      <c r="F42" s="2">
        <v>118.74</v>
      </c>
      <c r="G42" s="3">
        <v>16077100</v>
      </c>
    </row>
    <row r="43" spans="1:7" x14ac:dyDescent="0.3">
      <c r="A43" s="1">
        <v>45971</v>
      </c>
      <c r="B43" s="2">
        <v>117.44</v>
      </c>
      <c r="C43" s="2">
        <v>118.45</v>
      </c>
      <c r="D43" s="2">
        <v>115.46</v>
      </c>
      <c r="E43" s="2">
        <v>118.22</v>
      </c>
      <c r="F43" s="2">
        <v>117.19</v>
      </c>
      <c r="G43" s="3">
        <v>13048000</v>
      </c>
    </row>
    <row r="44" spans="1:7" x14ac:dyDescent="0.3">
      <c r="A44" s="1">
        <v>45968</v>
      </c>
      <c r="B44" s="2">
        <v>115.21</v>
      </c>
      <c r="C44" s="2">
        <v>117.51</v>
      </c>
      <c r="D44" s="2">
        <v>114.9</v>
      </c>
      <c r="E44" s="2">
        <v>117.22</v>
      </c>
      <c r="F44" s="2">
        <v>116.2</v>
      </c>
      <c r="G44" s="3">
        <v>17181100</v>
      </c>
    </row>
    <row r="45" spans="1:7" x14ac:dyDescent="0.3">
      <c r="A45" s="1">
        <v>45967</v>
      </c>
      <c r="B45" s="2">
        <v>113.64</v>
      </c>
      <c r="C45" s="2">
        <v>114.94</v>
      </c>
      <c r="D45" s="2">
        <v>113.64</v>
      </c>
      <c r="E45" s="2">
        <v>114.5</v>
      </c>
      <c r="F45" s="2">
        <v>113.51</v>
      </c>
      <c r="G45" s="3">
        <v>14219700</v>
      </c>
    </row>
    <row r="46" spans="1:7" x14ac:dyDescent="0.3">
      <c r="A46" s="1">
        <v>45966</v>
      </c>
      <c r="B46" s="2">
        <v>114.09</v>
      </c>
      <c r="C46" s="2">
        <v>115.18</v>
      </c>
      <c r="D46" s="2">
        <v>113.67</v>
      </c>
      <c r="E46" s="2">
        <v>113.68</v>
      </c>
      <c r="F46" s="2">
        <v>112.69</v>
      </c>
      <c r="G46" s="3">
        <v>12400900</v>
      </c>
    </row>
    <row r="47" spans="1:7" x14ac:dyDescent="0.3">
      <c r="A47" s="1">
        <v>45965</v>
      </c>
      <c r="B47" s="2">
        <v>113.38</v>
      </c>
      <c r="C47" s="2">
        <v>114.35</v>
      </c>
      <c r="D47" s="2">
        <v>112.51</v>
      </c>
      <c r="E47" s="2">
        <v>114.14</v>
      </c>
      <c r="F47" s="2">
        <v>113.15</v>
      </c>
      <c r="G47" s="3">
        <v>16860700</v>
      </c>
    </row>
    <row r="48" spans="1:7" x14ac:dyDescent="0.3">
      <c r="A48" s="1">
        <v>45964</v>
      </c>
      <c r="B48" s="2">
        <v>114.5</v>
      </c>
      <c r="C48" s="2">
        <v>114.99</v>
      </c>
      <c r="D48" s="2">
        <v>113.64</v>
      </c>
      <c r="E48" s="2">
        <v>113.76</v>
      </c>
      <c r="F48" s="2">
        <v>112.77</v>
      </c>
      <c r="G48" s="3">
        <v>12290300</v>
      </c>
    </row>
    <row r="49" spans="1:7" x14ac:dyDescent="0.3">
      <c r="A49" s="1">
        <v>45961</v>
      </c>
      <c r="B49" s="2">
        <v>113.98</v>
      </c>
      <c r="C49" s="2">
        <v>115.23</v>
      </c>
      <c r="D49" s="2">
        <v>112.62</v>
      </c>
      <c r="E49" s="2">
        <v>114.36</v>
      </c>
      <c r="F49" s="2">
        <v>113.37</v>
      </c>
      <c r="G49" s="3">
        <v>20213400</v>
      </c>
    </row>
    <row r="50" spans="1:7" x14ac:dyDescent="0.3">
      <c r="A50" s="1">
        <v>45960</v>
      </c>
      <c r="B50" s="2">
        <v>116.43</v>
      </c>
      <c r="C50" s="2">
        <v>116.52</v>
      </c>
      <c r="D50" s="2">
        <v>114.53</v>
      </c>
      <c r="E50" s="2">
        <v>114.69</v>
      </c>
      <c r="F50" s="2">
        <v>113.7</v>
      </c>
      <c r="G50" s="3">
        <v>16172900</v>
      </c>
    </row>
    <row r="51" spans="1:7" x14ac:dyDescent="0.3">
      <c r="A51" s="1">
        <v>45959</v>
      </c>
      <c r="B51" s="2">
        <v>114.92</v>
      </c>
      <c r="C51" s="2">
        <v>117.05</v>
      </c>
      <c r="D51" s="2">
        <v>114.81</v>
      </c>
      <c r="E51" s="2">
        <v>116.45</v>
      </c>
      <c r="F51" s="2">
        <v>115.44</v>
      </c>
      <c r="G51" s="3">
        <v>12570600</v>
      </c>
    </row>
    <row r="52" spans="1:7" x14ac:dyDescent="0.3">
      <c r="A52" s="1">
        <v>45958</v>
      </c>
      <c r="B52" s="2">
        <v>115.49</v>
      </c>
      <c r="C52" s="2">
        <v>116.18</v>
      </c>
      <c r="D52" s="2">
        <v>114.99</v>
      </c>
      <c r="E52" s="2">
        <v>115.03</v>
      </c>
      <c r="F52" s="2">
        <v>114.03</v>
      </c>
      <c r="G52" s="3">
        <v>9535200</v>
      </c>
    </row>
    <row r="53" spans="1:7" x14ac:dyDescent="0.3">
      <c r="A53" s="1">
        <v>45957</v>
      </c>
      <c r="B53" s="2">
        <v>115.7</v>
      </c>
      <c r="C53" s="2">
        <v>115.99</v>
      </c>
      <c r="D53" s="2">
        <v>115.1</v>
      </c>
      <c r="E53" s="2">
        <v>115.94</v>
      </c>
      <c r="F53" s="2">
        <v>114.93</v>
      </c>
      <c r="G53" s="3">
        <v>10975400</v>
      </c>
    </row>
    <row r="54" spans="1:7" x14ac:dyDescent="0.3">
      <c r="A54" s="1">
        <v>45954</v>
      </c>
      <c r="B54" s="2">
        <v>116.35</v>
      </c>
      <c r="C54" s="2">
        <v>116.47</v>
      </c>
      <c r="D54" s="2">
        <v>115.18</v>
      </c>
      <c r="E54" s="2">
        <v>115.39</v>
      </c>
      <c r="F54" s="2">
        <v>114.39</v>
      </c>
      <c r="G54" s="3">
        <v>9919400</v>
      </c>
    </row>
    <row r="55" spans="1:7" x14ac:dyDescent="0.3">
      <c r="A55" s="1">
        <v>45953</v>
      </c>
      <c r="B55" s="2">
        <v>116.63</v>
      </c>
      <c r="C55" s="2">
        <v>116.85</v>
      </c>
      <c r="D55" s="2">
        <v>115.36</v>
      </c>
      <c r="E55" s="2">
        <v>115.98</v>
      </c>
      <c r="F55" s="2">
        <v>114.97</v>
      </c>
      <c r="G55" s="3">
        <v>15001100</v>
      </c>
    </row>
    <row r="56" spans="1:7" x14ac:dyDescent="0.3">
      <c r="A56" s="1">
        <v>45952</v>
      </c>
      <c r="B56" s="2">
        <v>113.45</v>
      </c>
      <c r="C56" s="2">
        <v>115.18</v>
      </c>
      <c r="D56" s="2">
        <v>113.08</v>
      </c>
      <c r="E56" s="2">
        <v>114.71</v>
      </c>
      <c r="F56" s="2">
        <v>113.72</v>
      </c>
      <c r="G56" s="3">
        <v>12938800</v>
      </c>
    </row>
    <row r="57" spans="1:7" x14ac:dyDescent="0.3">
      <c r="A57" s="1">
        <v>45951</v>
      </c>
      <c r="B57" s="2">
        <v>112.89</v>
      </c>
      <c r="C57" s="2">
        <v>113.36</v>
      </c>
      <c r="D57" s="2">
        <v>111.99</v>
      </c>
      <c r="E57" s="2">
        <v>112.71</v>
      </c>
      <c r="F57" s="2">
        <v>111.73</v>
      </c>
      <c r="G57" s="3">
        <v>9202300</v>
      </c>
    </row>
    <row r="58" spans="1:7" x14ac:dyDescent="0.3">
      <c r="A58" s="1">
        <v>45950</v>
      </c>
      <c r="B58" s="2">
        <v>112</v>
      </c>
      <c r="C58" s="2">
        <v>113.15</v>
      </c>
      <c r="D58" s="2">
        <v>111.98</v>
      </c>
      <c r="E58" s="2">
        <v>112.7</v>
      </c>
      <c r="F58" s="2">
        <v>111.72</v>
      </c>
      <c r="G58" s="3">
        <v>9523600</v>
      </c>
    </row>
    <row r="59" spans="1:7" x14ac:dyDescent="0.3">
      <c r="A59" s="1">
        <v>45947</v>
      </c>
      <c r="B59" s="2">
        <v>111.63</v>
      </c>
      <c r="C59" s="2">
        <v>112.91</v>
      </c>
      <c r="D59" s="2">
        <v>111.18</v>
      </c>
      <c r="E59" s="2">
        <v>112.24</v>
      </c>
      <c r="F59" s="2">
        <v>111.27</v>
      </c>
      <c r="G59" s="3">
        <v>13460100</v>
      </c>
    </row>
    <row r="60" spans="1:7" x14ac:dyDescent="0.3">
      <c r="A60" s="1">
        <v>45946</v>
      </c>
      <c r="B60" s="2">
        <v>111.88</v>
      </c>
      <c r="C60" s="2">
        <v>112.19</v>
      </c>
      <c r="D60" s="2">
        <v>110.39</v>
      </c>
      <c r="E60" s="2">
        <v>110.64</v>
      </c>
      <c r="F60" s="2">
        <v>109.68</v>
      </c>
      <c r="G60" s="3">
        <v>11782200</v>
      </c>
    </row>
    <row r="61" spans="1:7" x14ac:dyDescent="0.3">
      <c r="A61" s="1">
        <v>45945</v>
      </c>
      <c r="B61" s="2">
        <v>112.8</v>
      </c>
      <c r="C61" s="2">
        <v>113.57</v>
      </c>
      <c r="D61" s="2">
        <v>110.97</v>
      </c>
      <c r="E61" s="2">
        <v>111.61</v>
      </c>
      <c r="F61" s="2">
        <v>110.64</v>
      </c>
      <c r="G61" s="3">
        <v>12182900</v>
      </c>
    </row>
    <row r="62" spans="1:7" x14ac:dyDescent="0.3">
      <c r="A62" s="1">
        <v>45944</v>
      </c>
      <c r="B62" s="2">
        <v>110.76</v>
      </c>
      <c r="C62" s="2">
        <v>112.96</v>
      </c>
      <c r="D62" s="2">
        <v>110.71</v>
      </c>
      <c r="E62" s="2">
        <v>112.29</v>
      </c>
      <c r="F62" s="2">
        <v>111.32</v>
      </c>
      <c r="G62" s="3">
        <v>11167200</v>
      </c>
    </row>
    <row r="63" spans="1:7" x14ac:dyDescent="0.3">
      <c r="A63" s="1">
        <v>45943</v>
      </c>
      <c r="B63" s="2">
        <v>111.54</v>
      </c>
      <c r="C63" s="2">
        <v>112.3</v>
      </c>
      <c r="D63" s="2">
        <v>111.32</v>
      </c>
      <c r="E63" s="2">
        <v>112.24</v>
      </c>
      <c r="F63" s="2">
        <v>111.27</v>
      </c>
      <c r="G63" s="3">
        <v>10296500</v>
      </c>
    </row>
    <row r="64" spans="1:7" x14ac:dyDescent="0.3">
      <c r="A64" s="1">
        <v>45940</v>
      </c>
      <c r="B64" s="2">
        <v>112.26</v>
      </c>
      <c r="C64" s="2">
        <v>112.62</v>
      </c>
      <c r="D64" s="2">
        <v>110.71</v>
      </c>
      <c r="E64" s="2">
        <v>110.73</v>
      </c>
      <c r="F64" s="2">
        <v>109.77</v>
      </c>
      <c r="G64" s="3">
        <v>13811600</v>
      </c>
    </row>
    <row r="65" spans="1:7" x14ac:dyDescent="0.3">
      <c r="A65" s="1">
        <v>45939</v>
      </c>
      <c r="B65" s="2">
        <v>114.43</v>
      </c>
      <c r="C65" s="2">
        <v>115.51</v>
      </c>
      <c r="D65" s="2">
        <v>112.74</v>
      </c>
      <c r="E65" s="2">
        <v>112.91</v>
      </c>
      <c r="F65" s="2">
        <v>111.93</v>
      </c>
      <c r="G65" s="3">
        <v>10976200</v>
      </c>
    </row>
    <row r="66" spans="1:7" x14ac:dyDescent="0.3">
      <c r="A66" s="1">
        <v>45938</v>
      </c>
      <c r="B66" s="2">
        <v>114.38</v>
      </c>
      <c r="C66" s="2">
        <v>115.01</v>
      </c>
      <c r="D66" s="2">
        <v>113.41</v>
      </c>
      <c r="E66" s="2">
        <v>114.02</v>
      </c>
      <c r="F66" s="2">
        <v>113.03</v>
      </c>
      <c r="G66" s="3">
        <v>12301000</v>
      </c>
    </row>
    <row r="67" spans="1:7" x14ac:dyDescent="0.3">
      <c r="A67" s="1">
        <v>45937</v>
      </c>
      <c r="B67" s="2">
        <v>114.07</v>
      </c>
      <c r="C67" s="2">
        <v>114.51</v>
      </c>
      <c r="D67" s="2">
        <v>111.74</v>
      </c>
      <c r="E67" s="2">
        <v>114.26</v>
      </c>
      <c r="F67" s="2">
        <v>113.27</v>
      </c>
      <c r="G67" s="3">
        <v>11945000</v>
      </c>
    </row>
    <row r="68" spans="1:7" x14ac:dyDescent="0.3">
      <c r="A68" s="1">
        <v>45936</v>
      </c>
      <c r="B68" s="2">
        <v>113.29</v>
      </c>
      <c r="C68" s="2">
        <v>114.77</v>
      </c>
      <c r="D68" s="2">
        <v>113.18</v>
      </c>
      <c r="E68" s="2">
        <v>114.2</v>
      </c>
      <c r="F68" s="2">
        <v>113.21</v>
      </c>
      <c r="G68" s="3">
        <v>12036800</v>
      </c>
    </row>
    <row r="69" spans="1:7" x14ac:dyDescent="0.3">
      <c r="A69" s="1">
        <v>45933</v>
      </c>
      <c r="B69" s="2">
        <v>111.9</v>
      </c>
      <c r="C69" s="2">
        <v>113.75</v>
      </c>
      <c r="D69" s="2">
        <v>111.9</v>
      </c>
      <c r="E69" s="2">
        <v>113.26</v>
      </c>
      <c r="F69" s="2">
        <v>112.28</v>
      </c>
      <c r="G69" s="3">
        <v>12950100</v>
      </c>
    </row>
    <row r="70" spans="1:7" x14ac:dyDescent="0.3">
      <c r="A70" s="1">
        <v>45932</v>
      </c>
      <c r="B70" s="2">
        <v>111.97</v>
      </c>
      <c r="C70" s="2">
        <v>113.09</v>
      </c>
      <c r="D70" s="2">
        <v>111.03</v>
      </c>
      <c r="E70" s="2">
        <v>111.29</v>
      </c>
      <c r="F70" s="2">
        <v>110.33</v>
      </c>
      <c r="G70" s="3">
        <v>13062600</v>
      </c>
    </row>
    <row r="71" spans="1:7" x14ac:dyDescent="0.3">
      <c r="A71" s="1">
        <v>45931</v>
      </c>
      <c r="B71" s="2">
        <v>112.56</v>
      </c>
      <c r="C71" s="2">
        <v>113.02</v>
      </c>
      <c r="D71" s="2">
        <v>111.29</v>
      </c>
      <c r="E71" s="2">
        <v>111.99</v>
      </c>
      <c r="F71" s="2">
        <v>111.02</v>
      </c>
      <c r="G71" s="3">
        <v>16614000</v>
      </c>
    </row>
    <row r="72" spans="1:7" x14ac:dyDescent="0.3">
      <c r="A72" s="1">
        <v>45930</v>
      </c>
      <c r="B72" s="2">
        <v>113.35</v>
      </c>
      <c r="C72" s="2">
        <v>113.49</v>
      </c>
      <c r="D72" s="2">
        <v>111.94</v>
      </c>
      <c r="E72" s="2">
        <v>112.75</v>
      </c>
      <c r="F72" s="2">
        <v>111.77</v>
      </c>
      <c r="G72" s="3">
        <v>18076200</v>
      </c>
    </row>
    <row r="73" spans="1:7" x14ac:dyDescent="0.3">
      <c r="A73" s="1">
        <v>45929</v>
      </c>
      <c r="B73" s="2">
        <v>116.06</v>
      </c>
      <c r="C73" s="2">
        <v>116.5</v>
      </c>
      <c r="D73" s="2">
        <v>113.67</v>
      </c>
      <c r="E73" s="2">
        <v>114.22</v>
      </c>
      <c r="F73" s="2">
        <v>113.23</v>
      </c>
      <c r="G73" s="3">
        <v>19189300</v>
      </c>
    </row>
    <row r="74" spans="1:7" x14ac:dyDescent="0.3">
      <c r="A74" s="1">
        <v>45926</v>
      </c>
      <c r="B74" s="2">
        <v>115.96</v>
      </c>
      <c r="C74" s="2">
        <v>118.36</v>
      </c>
      <c r="D74" s="2">
        <v>115.92</v>
      </c>
      <c r="E74" s="2">
        <v>117.22</v>
      </c>
      <c r="F74" s="2">
        <v>116.2</v>
      </c>
      <c r="G74" s="3">
        <v>18568900</v>
      </c>
    </row>
    <row r="75" spans="1:7" x14ac:dyDescent="0.3">
      <c r="A75" s="1">
        <v>45925</v>
      </c>
      <c r="B75" s="2">
        <v>114.64</v>
      </c>
      <c r="C75" s="2">
        <v>115.9</v>
      </c>
      <c r="D75" s="2">
        <v>114.41</v>
      </c>
      <c r="E75" s="2">
        <v>115.59</v>
      </c>
      <c r="F75" s="2">
        <v>114.59</v>
      </c>
      <c r="G75" s="3">
        <v>15012600</v>
      </c>
    </row>
    <row r="76" spans="1:7" x14ac:dyDescent="0.3">
      <c r="A76" s="1">
        <v>45924</v>
      </c>
      <c r="B76" s="2">
        <v>114.57</v>
      </c>
      <c r="C76" s="2">
        <v>115.76</v>
      </c>
      <c r="D76" s="2">
        <v>114.47</v>
      </c>
      <c r="E76" s="2">
        <v>114.56</v>
      </c>
      <c r="F76" s="2">
        <v>113.57</v>
      </c>
      <c r="G76" s="3">
        <v>14756100</v>
      </c>
    </row>
    <row r="77" spans="1:7" x14ac:dyDescent="0.3">
      <c r="A77" s="1">
        <v>45923</v>
      </c>
      <c r="B77" s="2">
        <v>112.72</v>
      </c>
      <c r="C77" s="2">
        <v>114.75</v>
      </c>
      <c r="D77" s="2">
        <v>112.48</v>
      </c>
      <c r="E77" s="2">
        <v>113.95</v>
      </c>
      <c r="F77" s="2">
        <v>112.96</v>
      </c>
      <c r="G77" s="3">
        <v>25369100</v>
      </c>
    </row>
    <row r="78" spans="1:7" x14ac:dyDescent="0.3">
      <c r="A78" s="1">
        <v>45922</v>
      </c>
      <c r="B78" s="2">
        <v>112.45</v>
      </c>
      <c r="C78" s="2">
        <v>112.8</v>
      </c>
      <c r="D78" s="2">
        <v>111.56</v>
      </c>
      <c r="E78" s="2">
        <v>112.02</v>
      </c>
      <c r="F78" s="2">
        <v>111.05</v>
      </c>
      <c r="G78" s="3">
        <v>15611500</v>
      </c>
    </row>
    <row r="79" spans="1:7" x14ac:dyDescent="0.3">
      <c r="A79" s="1">
        <v>45919</v>
      </c>
      <c r="B79" s="2">
        <v>113.9</v>
      </c>
      <c r="C79" s="2">
        <v>113.98</v>
      </c>
      <c r="D79" s="2">
        <v>112.64</v>
      </c>
      <c r="E79" s="2">
        <v>112.82</v>
      </c>
      <c r="F79" s="2">
        <v>111.84</v>
      </c>
      <c r="G79" s="3">
        <v>38746500</v>
      </c>
    </row>
    <row r="80" spans="1:7" x14ac:dyDescent="0.3">
      <c r="A80" s="1">
        <v>45918</v>
      </c>
      <c r="B80" s="2">
        <v>115.17</v>
      </c>
      <c r="C80" s="2">
        <v>115.35</v>
      </c>
      <c r="D80" s="2">
        <v>113.4</v>
      </c>
      <c r="E80" s="2">
        <v>113.93</v>
      </c>
      <c r="F80" s="2">
        <v>112.94</v>
      </c>
      <c r="G80" s="3">
        <v>14628700</v>
      </c>
    </row>
    <row r="81" spans="1:7" x14ac:dyDescent="0.3">
      <c r="A81" s="1">
        <v>45917</v>
      </c>
      <c r="B81" s="2">
        <v>114.53</v>
      </c>
      <c r="C81" s="2">
        <v>115.49</v>
      </c>
      <c r="D81" s="2">
        <v>114.05</v>
      </c>
      <c r="E81" s="2">
        <v>115.29</v>
      </c>
      <c r="F81" s="2">
        <v>114.29</v>
      </c>
      <c r="G81" s="3">
        <v>13302000</v>
      </c>
    </row>
    <row r="82" spans="1:7" x14ac:dyDescent="0.3">
      <c r="A82" s="1">
        <v>45916</v>
      </c>
      <c r="B82" s="2">
        <v>112.96</v>
      </c>
      <c r="C82" s="2">
        <v>115.32</v>
      </c>
      <c r="D82" s="2">
        <v>112.78</v>
      </c>
      <c r="E82" s="2">
        <v>114.68</v>
      </c>
      <c r="F82" s="2">
        <v>113.69</v>
      </c>
      <c r="G82" s="3">
        <v>17208000</v>
      </c>
    </row>
    <row r="83" spans="1:7" x14ac:dyDescent="0.3">
      <c r="A83" s="1">
        <v>45915</v>
      </c>
      <c r="B83" s="2">
        <v>112.18</v>
      </c>
      <c r="C83" s="2">
        <v>112.46</v>
      </c>
      <c r="D83" s="2">
        <v>111.32</v>
      </c>
      <c r="E83" s="2">
        <v>112.35</v>
      </c>
      <c r="F83" s="2">
        <v>111.38</v>
      </c>
      <c r="G83" s="3">
        <v>12880500</v>
      </c>
    </row>
    <row r="84" spans="1:7" x14ac:dyDescent="0.3">
      <c r="A84" s="1">
        <v>45912</v>
      </c>
      <c r="B84" s="2">
        <v>112.86</v>
      </c>
      <c r="C84" s="2">
        <v>113.22</v>
      </c>
      <c r="D84" s="2">
        <v>111.88</v>
      </c>
      <c r="E84" s="2">
        <v>112.16</v>
      </c>
      <c r="F84" s="2">
        <v>111.19</v>
      </c>
      <c r="G84" s="3">
        <v>11105700</v>
      </c>
    </row>
    <row r="85" spans="1:7" x14ac:dyDescent="0.3">
      <c r="A85" s="1">
        <v>45911</v>
      </c>
      <c r="B85" s="2">
        <v>111.4</v>
      </c>
      <c r="C85" s="2">
        <v>112.77</v>
      </c>
      <c r="D85" s="2">
        <v>110.87</v>
      </c>
      <c r="E85" s="2">
        <v>112.14</v>
      </c>
      <c r="F85" s="2">
        <v>111.17</v>
      </c>
      <c r="G85" s="3">
        <v>11534500</v>
      </c>
    </row>
    <row r="86" spans="1:7" x14ac:dyDescent="0.3">
      <c r="A86" s="1">
        <v>45910</v>
      </c>
      <c r="B86" s="2">
        <v>111.16</v>
      </c>
      <c r="C86" s="2">
        <v>112.56</v>
      </c>
      <c r="D86" s="2">
        <v>110.84</v>
      </c>
      <c r="E86" s="2">
        <v>112.5</v>
      </c>
      <c r="F86" s="2">
        <v>111.52</v>
      </c>
      <c r="G86" s="3">
        <v>15837600</v>
      </c>
    </row>
    <row r="87" spans="1:7" x14ac:dyDescent="0.3">
      <c r="A87" s="1">
        <v>45909</v>
      </c>
      <c r="B87" s="2">
        <v>110.53</v>
      </c>
      <c r="C87" s="2">
        <v>112.51</v>
      </c>
      <c r="D87" s="2">
        <v>110.53</v>
      </c>
      <c r="E87" s="2">
        <v>110.65</v>
      </c>
      <c r="F87" s="2">
        <v>109.69</v>
      </c>
      <c r="G87" s="3">
        <v>14899500</v>
      </c>
    </row>
    <row r="88" spans="1:7" x14ac:dyDescent="0.3">
      <c r="A88" s="1">
        <v>45908</v>
      </c>
      <c r="B88" s="2">
        <v>109.73</v>
      </c>
      <c r="C88" s="2">
        <v>110.05</v>
      </c>
      <c r="D88" s="2">
        <v>108.35</v>
      </c>
      <c r="E88" s="2">
        <v>109.85</v>
      </c>
      <c r="F88" s="2">
        <v>108.9</v>
      </c>
      <c r="G88" s="3">
        <v>15440500</v>
      </c>
    </row>
    <row r="89" spans="1:7" x14ac:dyDescent="0.3">
      <c r="A89" s="1">
        <v>45905</v>
      </c>
      <c r="B89" s="2">
        <v>111.6</v>
      </c>
      <c r="C89" s="2">
        <v>111.78</v>
      </c>
      <c r="D89" s="2">
        <v>109.02</v>
      </c>
      <c r="E89" s="2">
        <v>109.23</v>
      </c>
      <c r="F89" s="2">
        <v>108.28</v>
      </c>
      <c r="G89" s="3">
        <v>16826700</v>
      </c>
    </row>
    <row r="90" spans="1:7" x14ac:dyDescent="0.3">
      <c r="A90" s="1">
        <v>45904</v>
      </c>
      <c r="B90" s="2">
        <v>112.11</v>
      </c>
      <c r="C90" s="2">
        <v>113.13</v>
      </c>
      <c r="D90" s="2">
        <v>111.38</v>
      </c>
      <c r="E90" s="2">
        <v>112.4</v>
      </c>
      <c r="F90" s="2">
        <v>111.43</v>
      </c>
      <c r="G90" s="3">
        <v>12864400</v>
      </c>
    </row>
    <row r="91" spans="1:7" x14ac:dyDescent="0.3">
      <c r="A91" s="1">
        <v>45903</v>
      </c>
      <c r="B91" s="2">
        <v>113.97</v>
      </c>
      <c r="C91" s="2">
        <v>114.43</v>
      </c>
      <c r="D91" s="2">
        <v>111.46</v>
      </c>
      <c r="E91" s="2">
        <v>111.91</v>
      </c>
      <c r="F91" s="2">
        <v>110.94</v>
      </c>
      <c r="G91" s="3">
        <v>14920100</v>
      </c>
    </row>
    <row r="92" spans="1:7" x14ac:dyDescent="0.3">
      <c r="A92" s="1">
        <v>45902</v>
      </c>
      <c r="B92" s="2">
        <v>114.18</v>
      </c>
      <c r="C92" s="2">
        <v>115.24</v>
      </c>
      <c r="D92" s="2">
        <v>113.33</v>
      </c>
      <c r="E92" s="2">
        <v>114.69</v>
      </c>
      <c r="F92" s="2">
        <v>113.7</v>
      </c>
      <c r="G92" s="3">
        <v>15206700</v>
      </c>
    </row>
    <row r="93" spans="1:7" x14ac:dyDescent="0.3">
      <c r="A93" s="1">
        <v>45898</v>
      </c>
      <c r="B93" s="2">
        <v>113.72</v>
      </c>
      <c r="C93" s="2">
        <v>114.79</v>
      </c>
      <c r="D93" s="2">
        <v>113.58</v>
      </c>
      <c r="E93" s="2">
        <v>114.29</v>
      </c>
      <c r="F93" s="2">
        <v>113.3</v>
      </c>
      <c r="G93" s="3">
        <v>14597900</v>
      </c>
    </row>
    <row r="94" spans="1:7" x14ac:dyDescent="0.3">
      <c r="A94" s="1">
        <v>45897</v>
      </c>
      <c r="B94" s="2">
        <v>112.87</v>
      </c>
      <c r="C94" s="2">
        <v>113.65</v>
      </c>
      <c r="D94" s="2">
        <v>112.07</v>
      </c>
      <c r="E94" s="2">
        <v>113.35</v>
      </c>
      <c r="F94" s="2">
        <v>112.37</v>
      </c>
      <c r="G94" s="3">
        <v>14189800</v>
      </c>
    </row>
    <row r="95" spans="1:7" x14ac:dyDescent="0.3">
      <c r="A95" s="1">
        <v>45896</v>
      </c>
      <c r="B95" s="2">
        <v>111.42</v>
      </c>
      <c r="C95" s="2">
        <v>112.98</v>
      </c>
      <c r="D95" s="2">
        <v>111.42</v>
      </c>
      <c r="E95" s="2">
        <v>112.75</v>
      </c>
      <c r="F95" s="2">
        <v>111.77</v>
      </c>
      <c r="G95" s="3">
        <v>15262600</v>
      </c>
    </row>
    <row r="96" spans="1:7" x14ac:dyDescent="0.3">
      <c r="A96" s="1">
        <v>45895</v>
      </c>
      <c r="B96" s="2">
        <v>111.37</v>
      </c>
      <c r="C96" s="2">
        <v>111.81</v>
      </c>
      <c r="D96" s="2">
        <v>110.36</v>
      </c>
      <c r="E96" s="2">
        <v>111.49</v>
      </c>
      <c r="F96" s="2">
        <v>110.52</v>
      </c>
      <c r="G96" s="3">
        <v>18143900</v>
      </c>
    </row>
    <row r="97" spans="1:7" x14ac:dyDescent="0.3">
      <c r="A97" s="1">
        <v>45894</v>
      </c>
      <c r="B97" s="2">
        <v>110.9</v>
      </c>
      <c r="C97" s="2">
        <v>111.92</v>
      </c>
      <c r="D97" s="2">
        <v>110.54</v>
      </c>
      <c r="E97" s="2">
        <v>111.74</v>
      </c>
      <c r="F97" s="2">
        <v>110.77</v>
      </c>
      <c r="G97" s="3">
        <v>9744900</v>
      </c>
    </row>
    <row r="98" spans="1:7" x14ac:dyDescent="0.3">
      <c r="A98" s="1">
        <v>45891</v>
      </c>
      <c r="B98" s="2">
        <v>109.6</v>
      </c>
      <c r="C98" s="2">
        <v>111.41</v>
      </c>
      <c r="D98" s="2">
        <v>109.6</v>
      </c>
      <c r="E98" s="2">
        <v>111.28</v>
      </c>
      <c r="F98" s="2">
        <v>110.32</v>
      </c>
      <c r="G98" s="3">
        <v>13586700</v>
      </c>
    </row>
    <row r="99" spans="1:7" x14ac:dyDescent="0.3">
      <c r="A99" s="1">
        <v>45890</v>
      </c>
      <c r="B99" s="2">
        <v>108.42</v>
      </c>
      <c r="C99" s="2">
        <v>109.57</v>
      </c>
      <c r="D99" s="2">
        <v>107.96</v>
      </c>
      <c r="E99" s="2">
        <v>109.23</v>
      </c>
      <c r="F99" s="2">
        <v>108.28</v>
      </c>
      <c r="G99" s="3">
        <v>12194900</v>
      </c>
    </row>
    <row r="100" spans="1:7" x14ac:dyDescent="0.3">
      <c r="A100" s="1">
        <v>45889</v>
      </c>
      <c r="B100" s="2">
        <v>107.88</v>
      </c>
      <c r="C100" s="2">
        <v>109.33</v>
      </c>
      <c r="D100" s="2">
        <v>107.68</v>
      </c>
      <c r="E100" s="2">
        <v>108.53</v>
      </c>
      <c r="F100" s="2">
        <v>107.59</v>
      </c>
      <c r="G100" s="3">
        <v>18959700</v>
      </c>
    </row>
    <row r="101" spans="1:7" x14ac:dyDescent="0.3">
      <c r="A101" s="1">
        <v>45888</v>
      </c>
      <c r="B101" s="2">
        <v>106.2</v>
      </c>
      <c r="C101" s="2">
        <v>107.46</v>
      </c>
      <c r="D101" s="2">
        <v>106.15</v>
      </c>
      <c r="E101" s="2">
        <v>107.42</v>
      </c>
      <c r="F101" s="2">
        <v>106.49</v>
      </c>
      <c r="G101" s="3">
        <v>16113600</v>
      </c>
    </row>
    <row r="102" spans="1:7" x14ac:dyDescent="0.3">
      <c r="A102" s="1">
        <v>45887</v>
      </c>
      <c r="B102" s="2">
        <v>106.1</v>
      </c>
      <c r="C102" s="2">
        <v>107.23</v>
      </c>
      <c r="D102" s="2">
        <v>105.67</v>
      </c>
      <c r="E102" s="2">
        <v>106.72</v>
      </c>
      <c r="F102" s="2">
        <v>105.79</v>
      </c>
      <c r="G102" s="3">
        <v>13040000</v>
      </c>
    </row>
    <row r="103" spans="1:7" x14ac:dyDescent="0.3">
      <c r="A103" s="1">
        <v>45884</v>
      </c>
      <c r="B103" s="2">
        <v>106.19</v>
      </c>
      <c r="C103" s="2">
        <v>107.56</v>
      </c>
      <c r="D103" s="2">
        <v>105.95</v>
      </c>
      <c r="E103" s="2">
        <v>106.49</v>
      </c>
      <c r="F103" s="2">
        <v>105.57</v>
      </c>
      <c r="G103" s="3">
        <v>19271900</v>
      </c>
    </row>
    <row r="104" spans="1:7" x14ac:dyDescent="0.3">
      <c r="A104" s="1">
        <v>45883</v>
      </c>
      <c r="B104" s="2">
        <v>107.55</v>
      </c>
      <c r="C104" s="2">
        <v>107.59</v>
      </c>
      <c r="D104" s="2">
        <v>106.44</v>
      </c>
      <c r="E104" s="2">
        <v>107.38</v>
      </c>
      <c r="F104" s="2">
        <v>105.47</v>
      </c>
      <c r="G104" s="3">
        <v>13683500</v>
      </c>
    </row>
    <row r="105" spans="1:7" x14ac:dyDescent="0.3">
      <c r="A105" s="1">
        <v>45882</v>
      </c>
      <c r="B105" s="2">
        <v>106</v>
      </c>
      <c r="C105" s="2">
        <v>107.6</v>
      </c>
      <c r="D105" s="2">
        <v>105.74</v>
      </c>
      <c r="E105" s="2">
        <v>107.6</v>
      </c>
      <c r="F105" s="2">
        <v>105.68</v>
      </c>
      <c r="G105" s="3">
        <v>17958700</v>
      </c>
    </row>
    <row r="106" spans="1:7" x14ac:dyDescent="0.3">
      <c r="A106" s="1">
        <v>45881</v>
      </c>
      <c r="B106" s="2">
        <v>106.34</v>
      </c>
      <c r="C106" s="2">
        <v>107.28</v>
      </c>
      <c r="D106" s="2">
        <v>105.78</v>
      </c>
      <c r="E106" s="2">
        <v>106.13</v>
      </c>
      <c r="F106" s="2">
        <v>104.24</v>
      </c>
      <c r="G106" s="3">
        <v>14109400</v>
      </c>
    </row>
    <row r="107" spans="1:7" x14ac:dyDescent="0.3">
      <c r="A107" s="1">
        <v>45880</v>
      </c>
      <c r="B107" s="2">
        <v>107.11</v>
      </c>
      <c r="C107" s="2">
        <v>107.53</v>
      </c>
      <c r="D107" s="2">
        <v>105.53</v>
      </c>
      <c r="E107" s="2">
        <v>105.83</v>
      </c>
      <c r="F107" s="2">
        <v>103.95</v>
      </c>
      <c r="G107" s="3">
        <v>13570700</v>
      </c>
    </row>
    <row r="108" spans="1:7" x14ac:dyDescent="0.3">
      <c r="A108" s="1">
        <v>45877</v>
      </c>
      <c r="B108" s="2">
        <v>106.5</v>
      </c>
      <c r="C108" s="2">
        <v>107.51</v>
      </c>
      <c r="D108" s="2">
        <v>105.95</v>
      </c>
      <c r="E108" s="2">
        <v>106.8</v>
      </c>
      <c r="F108" s="2">
        <v>104.9</v>
      </c>
      <c r="G108" s="3">
        <v>14417700</v>
      </c>
    </row>
    <row r="109" spans="1:7" x14ac:dyDescent="0.3">
      <c r="A109" s="1">
        <v>45876</v>
      </c>
      <c r="B109" s="2">
        <v>107.14</v>
      </c>
      <c r="C109" s="2">
        <v>108.06</v>
      </c>
      <c r="D109" s="2">
        <v>105.89</v>
      </c>
      <c r="E109" s="2">
        <v>105.95</v>
      </c>
      <c r="F109" s="2">
        <v>104.06</v>
      </c>
      <c r="G109" s="3">
        <v>13468300</v>
      </c>
    </row>
    <row r="110" spans="1:7" x14ac:dyDescent="0.3">
      <c r="A110" s="1">
        <v>45875</v>
      </c>
      <c r="B110" s="2">
        <v>108.31</v>
      </c>
      <c r="C110" s="2">
        <v>109.05</v>
      </c>
      <c r="D110" s="2">
        <v>106.37</v>
      </c>
      <c r="E110" s="2">
        <v>106.51</v>
      </c>
      <c r="F110" s="2">
        <v>104.61</v>
      </c>
      <c r="G110" s="3">
        <v>15321800</v>
      </c>
    </row>
    <row r="111" spans="1:7" x14ac:dyDescent="0.3">
      <c r="A111" s="1">
        <v>45874</v>
      </c>
      <c r="B111" s="2">
        <v>107.22</v>
      </c>
      <c r="C111" s="2">
        <v>107.82</v>
      </c>
      <c r="D111" s="2">
        <v>106.07</v>
      </c>
      <c r="E111" s="2">
        <v>107.24</v>
      </c>
      <c r="F111" s="2">
        <v>105.33</v>
      </c>
      <c r="G111" s="3">
        <v>21314300</v>
      </c>
    </row>
    <row r="112" spans="1:7" x14ac:dyDescent="0.3">
      <c r="A112" s="1">
        <v>45873</v>
      </c>
      <c r="B112" s="2">
        <v>109.22</v>
      </c>
      <c r="C112" s="2">
        <v>109.92</v>
      </c>
      <c r="D112" s="2">
        <v>107.09</v>
      </c>
      <c r="E112" s="2">
        <v>107.37</v>
      </c>
      <c r="F112" s="2">
        <v>105.46</v>
      </c>
      <c r="G112" s="3">
        <v>19129500</v>
      </c>
    </row>
    <row r="113" spans="1:7" x14ac:dyDescent="0.3">
      <c r="A113" s="1">
        <v>45870</v>
      </c>
      <c r="B113" s="2">
        <v>112</v>
      </c>
      <c r="C113" s="2">
        <v>112.54</v>
      </c>
      <c r="D113" s="2">
        <v>108.86</v>
      </c>
      <c r="E113" s="2">
        <v>109.64</v>
      </c>
      <c r="F113" s="2">
        <v>107.69</v>
      </c>
      <c r="G113" s="3">
        <v>19652000</v>
      </c>
    </row>
    <row r="114" spans="1:7" x14ac:dyDescent="0.3">
      <c r="A114" s="1">
        <v>45869</v>
      </c>
      <c r="B114" s="2">
        <v>110.36</v>
      </c>
      <c r="C114" s="2">
        <v>112.5</v>
      </c>
      <c r="D114" s="2">
        <v>110.36</v>
      </c>
      <c r="E114" s="2">
        <v>111.64</v>
      </c>
      <c r="F114" s="2">
        <v>109.65</v>
      </c>
      <c r="G114" s="3">
        <v>17233700</v>
      </c>
    </row>
    <row r="115" spans="1:7" x14ac:dyDescent="0.3">
      <c r="A115" s="1">
        <v>45868</v>
      </c>
      <c r="B115" s="2">
        <v>112.41</v>
      </c>
      <c r="C115" s="2">
        <v>112.61</v>
      </c>
      <c r="D115" s="2">
        <v>111.26</v>
      </c>
      <c r="E115" s="2">
        <v>111.9</v>
      </c>
      <c r="F115" s="2">
        <v>109.91</v>
      </c>
      <c r="G115" s="3">
        <v>12996900</v>
      </c>
    </row>
    <row r="116" spans="1:7" x14ac:dyDescent="0.3">
      <c r="A116" s="1">
        <v>45867</v>
      </c>
      <c r="B116" s="2">
        <v>111.9</v>
      </c>
      <c r="C116" s="2">
        <v>113</v>
      </c>
      <c r="D116" s="2">
        <v>111.41</v>
      </c>
      <c r="E116" s="2">
        <v>112.88</v>
      </c>
      <c r="F116" s="2">
        <v>110.87</v>
      </c>
      <c r="G116" s="3">
        <v>15928000</v>
      </c>
    </row>
    <row r="117" spans="1:7" x14ac:dyDescent="0.3">
      <c r="A117" s="1">
        <v>45866</v>
      </c>
      <c r="B117" s="2">
        <v>111</v>
      </c>
      <c r="C117" s="2">
        <v>112.11</v>
      </c>
      <c r="D117" s="2">
        <v>110.84</v>
      </c>
      <c r="E117" s="2">
        <v>111.44</v>
      </c>
      <c r="F117" s="2">
        <v>109.46</v>
      </c>
      <c r="G117" s="3">
        <v>12353000</v>
      </c>
    </row>
    <row r="118" spans="1:7" x14ac:dyDescent="0.3">
      <c r="A118" s="1">
        <v>45863</v>
      </c>
      <c r="B118" s="2">
        <v>110.73</v>
      </c>
      <c r="C118" s="2">
        <v>110.98</v>
      </c>
      <c r="D118" s="2">
        <v>109.7</v>
      </c>
      <c r="E118" s="2">
        <v>110.4</v>
      </c>
      <c r="F118" s="2">
        <v>108.43</v>
      </c>
      <c r="G118" s="3">
        <v>10548900</v>
      </c>
    </row>
    <row r="119" spans="1:7" x14ac:dyDescent="0.3">
      <c r="A119" s="1">
        <v>45862</v>
      </c>
      <c r="B119" s="2">
        <v>109.66</v>
      </c>
      <c r="C119" s="2">
        <v>110.95</v>
      </c>
      <c r="D119" s="2">
        <v>109.13</v>
      </c>
      <c r="E119" s="2">
        <v>110.79</v>
      </c>
      <c r="F119" s="2">
        <v>108.82</v>
      </c>
      <c r="G119" s="3">
        <v>15647200</v>
      </c>
    </row>
    <row r="120" spans="1:7" x14ac:dyDescent="0.3">
      <c r="A120" s="1">
        <v>45861</v>
      </c>
      <c r="B120" s="2">
        <v>108.93</v>
      </c>
      <c r="C120" s="2">
        <v>110</v>
      </c>
      <c r="D120" s="2">
        <v>108.85</v>
      </c>
      <c r="E120" s="2">
        <v>109.93</v>
      </c>
      <c r="F120" s="2">
        <v>107.97</v>
      </c>
      <c r="G120" s="3">
        <v>12002700</v>
      </c>
    </row>
    <row r="121" spans="1:7" x14ac:dyDescent="0.3">
      <c r="A121" s="1">
        <v>45860</v>
      </c>
      <c r="B121" s="2">
        <v>107.98</v>
      </c>
      <c r="C121" s="2">
        <v>109.44</v>
      </c>
      <c r="D121" s="2">
        <v>107.61</v>
      </c>
      <c r="E121" s="2">
        <v>108.54</v>
      </c>
      <c r="F121" s="2">
        <v>106.61</v>
      </c>
      <c r="G121" s="3">
        <v>13970900</v>
      </c>
    </row>
    <row r="122" spans="1:7" x14ac:dyDescent="0.3">
      <c r="A122" s="1">
        <v>45859</v>
      </c>
      <c r="B122" s="2">
        <v>107.6</v>
      </c>
      <c r="C122" s="2">
        <v>108.77</v>
      </c>
      <c r="D122" s="2">
        <v>107.44</v>
      </c>
      <c r="E122" s="2">
        <v>108.05</v>
      </c>
      <c r="F122" s="2">
        <v>106.13</v>
      </c>
      <c r="G122" s="3">
        <v>17010400</v>
      </c>
    </row>
    <row r="123" spans="1:7" x14ac:dyDescent="0.3">
      <c r="A123" s="1">
        <v>45856</v>
      </c>
      <c r="B123" s="2">
        <v>111.11</v>
      </c>
      <c r="C123" s="2">
        <v>111.73</v>
      </c>
      <c r="D123" s="2">
        <v>107.34</v>
      </c>
      <c r="E123" s="2">
        <v>107.77</v>
      </c>
      <c r="F123" s="2">
        <v>105.85</v>
      </c>
      <c r="G123" s="3">
        <v>32366600</v>
      </c>
    </row>
    <row r="124" spans="1:7" x14ac:dyDescent="0.3">
      <c r="A124" s="1">
        <v>45855</v>
      </c>
      <c r="B124" s="2">
        <v>111.49</v>
      </c>
      <c r="C124" s="2">
        <v>112.23</v>
      </c>
      <c r="D124" s="2">
        <v>111.09</v>
      </c>
      <c r="E124" s="2">
        <v>111.66</v>
      </c>
      <c r="F124" s="2">
        <v>109.67</v>
      </c>
      <c r="G124" s="3">
        <v>13151400</v>
      </c>
    </row>
    <row r="125" spans="1:7" x14ac:dyDescent="0.3">
      <c r="A125" s="1">
        <v>45854</v>
      </c>
      <c r="B125" s="2">
        <v>112.88</v>
      </c>
      <c r="C125" s="2">
        <v>113.5</v>
      </c>
      <c r="D125" s="2">
        <v>112.1</v>
      </c>
      <c r="E125" s="2">
        <v>112.23</v>
      </c>
      <c r="F125" s="2">
        <v>110.23</v>
      </c>
      <c r="G125" s="3">
        <v>11158900</v>
      </c>
    </row>
    <row r="126" spans="1:7" x14ac:dyDescent="0.3">
      <c r="A126" s="1">
        <v>45853</v>
      </c>
      <c r="B126" s="2">
        <v>113.66</v>
      </c>
      <c r="C126" s="2">
        <v>114.06</v>
      </c>
      <c r="D126" s="2">
        <v>112.6</v>
      </c>
      <c r="E126" s="2">
        <v>112.91</v>
      </c>
      <c r="F126" s="2">
        <v>110.9</v>
      </c>
      <c r="G126" s="3">
        <v>10959300</v>
      </c>
    </row>
    <row r="127" spans="1:7" x14ac:dyDescent="0.3">
      <c r="A127" s="1">
        <v>45852</v>
      </c>
      <c r="B127" s="2">
        <v>115.23</v>
      </c>
      <c r="C127" s="2">
        <v>115.23</v>
      </c>
      <c r="D127" s="2">
        <v>113.22</v>
      </c>
      <c r="E127" s="2">
        <v>113.92</v>
      </c>
      <c r="F127" s="2">
        <v>111.89</v>
      </c>
      <c r="G127" s="3">
        <v>13220300</v>
      </c>
    </row>
    <row r="128" spans="1:7" x14ac:dyDescent="0.3">
      <c r="A128" s="1">
        <v>45849</v>
      </c>
      <c r="B128" s="2">
        <v>114.85</v>
      </c>
      <c r="C128" s="2">
        <v>115.76</v>
      </c>
      <c r="D128" s="2">
        <v>114.51</v>
      </c>
      <c r="E128" s="2">
        <v>115.43</v>
      </c>
      <c r="F128" s="2">
        <v>113.37</v>
      </c>
      <c r="G128" s="3">
        <v>11683900</v>
      </c>
    </row>
    <row r="129" spans="1:7" x14ac:dyDescent="0.3">
      <c r="A129" s="1">
        <v>45848</v>
      </c>
      <c r="B129" s="2">
        <v>113.71</v>
      </c>
      <c r="C129" s="2">
        <v>115.27</v>
      </c>
      <c r="D129" s="2">
        <v>113.07</v>
      </c>
      <c r="E129" s="2">
        <v>114.93</v>
      </c>
      <c r="F129" s="2">
        <v>112.88</v>
      </c>
      <c r="G129" s="3">
        <v>14901700</v>
      </c>
    </row>
    <row r="130" spans="1:7" x14ac:dyDescent="0.3">
      <c r="A130" s="1">
        <v>45847</v>
      </c>
      <c r="B130" s="2">
        <v>113.92</v>
      </c>
      <c r="C130" s="2">
        <v>114.27</v>
      </c>
      <c r="D130" s="2">
        <v>113.27</v>
      </c>
      <c r="E130" s="2">
        <v>113.8</v>
      </c>
      <c r="F130" s="2">
        <v>111.77</v>
      </c>
      <c r="G130" s="3">
        <v>10852100</v>
      </c>
    </row>
    <row r="131" spans="1:7" x14ac:dyDescent="0.3">
      <c r="A131" s="1">
        <v>45846</v>
      </c>
      <c r="B131" s="2">
        <v>110.89</v>
      </c>
      <c r="C131" s="2">
        <v>114.46</v>
      </c>
      <c r="D131" s="2">
        <v>110.85</v>
      </c>
      <c r="E131" s="2">
        <v>114.19</v>
      </c>
      <c r="F131" s="2">
        <v>112.16</v>
      </c>
      <c r="G131" s="3">
        <v>17913400</v>
      </c>
    </row>
    <row r="132" spans="1:7" x14ac:dyDescent="0.3">
      <c r="A132" s="1">
        <v>45845</v>
      </c>
      <c r="B132" s="2">
        <v>111.54</v>
      </c>
      <c r="C132" s="2">
        <v>112.05</v>
      </c>
      <c r="D132" s="2">
        <v>110.22</v>
      </c>
      <c r="E132" s="2">
        <v>111.11</v>
      </c>
      <c r="F132" s="2">
        <v>109.13</v>
      </c>
      <c r="G132" s="3">
        <v>15415400</v>
      </c>
    </row>
    <row r="133" spans="1:7" x14ac:dyDescent="0.3">
      <c r="A133" s="1">
        <v>45841</v>
      </c>
      <c r="B133" s="2">
        <v>110.86</v>
      </c>
      <c r="C133" s="2">
        <v>112.47</v>
      </c>
      <c r="D133" s="2">
        <v>110.62</v>
      </c>
      <c r="E133" s="2">
        <v>112.2</v>
      </c>
      <c r="F133" s="2">
        <v>110.2</v>
      </c>
      <c r="G133" s="3">
        <v>11223600</v>
      </c>
    </row>
    <row r="134" spans="1:7" x14ac:dyDescent="0.3">
      <c r="A134" s="1">
        <v>45840</v>
      </c>
      <c r="B134" s="2">
        <v>110</v>
      </c>
      <c r="C134" s="2">
        <v>111.36</v>
      </c>
      <c r="D134" s="2">
        <v>108.83</v>
      </c>
      <c r="E134" s="2">
        <v>111.05</v>
      </c>
      <c r="F134" s="2">
        <v>109.07</v>
      </c>
      <c r="G134" s="3">
        <v>11892200</v>
      </c>
    </row>
    <row r="135" spans="1:7" x14ac:dyDescent="0.3">
      <c r="A135" s="1">
        <v>45839</v>
      </c>
      <c r="B135" s="2">
        <v>108.13</v>
      </c>
      <c r="C135" s="2">
        <v>109.64</v>
      </c>
      <c r="D135" s="2">
        <v>107.15</v>
      </c>
      <c r="E135" s="2">
        <v>109.24</v>
      </c>
      <c r="F135" s="2">
        <v>107.29</v>
      </c>
      <c r="G135" s="3">
        <v>15536900</v>
      </c>
    </row>
    <row r="136" spans="1:7" x14ac:dyDescent="0.3">
      <c r="A136" s="1">
        <v>45838</v>
      </c>
      <c r="B136" s="2">
        <v>108.64</v>
      </c>
      <c r="C136" s="2">
        <v>108.84</v>
      </c>
      <c r="D136" s="2">
        <v>107.72</v>
      </c>
      <c r="E136" s="2">
        <v>107.8</v>
      </c>
      <c r="F136" s="2">
        <v>105.88</v>
      </c>
      <c r="G136" s="3">
        <v>19199000</v>
      </c>
    </row>
    <row r="137" spans="1:7" x14ac:dyDescent="0.3">
      <c r="A137" s="1">
        <v>45835</v>
      </c>
      <c r="B137" s="2">
        <v>109.94</v>
      </c>
      <c r="C137" s="2">
        <v>110.1</v>
      </c>
      <c r="D137" s="2">
        <v>108.37</v>
      </c>
      <c r="E137" s="2">
        <v>109.38</v>
      </c>
      <c r="F137" s="2">
        <v>107.43</v>
      </c>
      <c r="G137" s="3">
        <v>22002100</v>
      </c>
    </row>
    <row r="138" spans="1:7" x14ac:dyDescent="0.3">
      <c r="A138" s="1">
        <v>45834</v>
      </c>
      <c r="B138" s="2">
        <v>108.94</v>
      </c>
      <c r="C138" s="2">
        <v>110.44</v>
      </c>
      <c r="D138" s="2">
        <v>108.55</v>
      </c>
      <c r="E138" s="2">
        <v>109.99</v>
      </c>
      <c r="F138" s="2">
        <v>108.03</v>
      </c>
      <c r="G138" s="3">
        <v>18304800</v>
      </c>
    </row>
    <row r="139" spans="1:7" x14ac:dyDescent="0.3">
      <c r="A139" s="1">
        <v>45833</v>
      </c>
      <c r="B139" s="2">
        <v>108.11</v>
      </c>
      <c r="C139" s="2">
        <v>109.24</v>
      </c>
      <c r="D139" s="2">
        <v>107.7</v>
      </c>
      <c r="E139" s="2">
        <v>108.37</v>
      </c>
      <c r="F139" s="2">
        <v>106.44</v>
      </c>
      <c r="G139" s="3">
        <v>17483200</v>
      </c>
    </row>
    <row r="140" spans="1:7" x14ac:dyDescent="0.3">
      <c r="A140" s="1">
        <v>45832</v>
      </c>
      <c r="B140" s="2">
        <v>109.25</v>
      </c>
      <c r="C140" s="2">
        <v>110.94</v>
      </c>
      <c r="D140" s="2">
        <v>107.91</v>
      </c>
      <c r="E140" s="2">
        <v>108.34</v>
      </c>
      <c r="F140" s="2">
        <v>106.41</v>
      </c>
      <c r="G140" s="3">
        <v>24828300</v>
      </c>
    </row>
    <row r="141" spans="1:7" x14ac:dyDescent="0.3">
      <c r="A141" s="1">
        <v>45831</v>
      </c>
      <c r="B141" s="2">
        <v>116.7</v>
      </c>
      <c r="C141" s="2">
        <v>116.95</v>
      </c>
      <c r="D141" s="2">
        <v>111.16</v>
      </c>
      <c r="E141" s="2">
        <v>111.74</v>
      </c>
      <c r="F141" s="2">
        <v>109.75</v>
      </c>
      <c r="G141" s="3">
        <v>26631100</v>
      </c>
    </row>
    <row r="142" spans="1:7" x14ac:dyDescent="0.3">
      <c r="A142" s="1">
        <v>45828</v>
      </c>
      <c r="B142" s="2">
        <v>113.45</v>
      </c>
      <c r="C142" s="2">
        <v>115.04</v>
      </c>
      <c r="D142" s="2">
        <v>113.18</v>
      </c>
      <c r="E142" s="2">
        <v>114.7</v>
      </c>
      <c r="F142" s="2">
        <v>112.66</v>
      </c>
      <c r="G142" s="3">
        <v>36273300</v>
      </c>
    </row>
    <row r="143" spans="1:7" x14ac:dyDescent="0.3">
      <c r="A143" s="1">
        <v>45826</v>
      </c>
      <c r="B143" s="2">
        <v>114.61</v>
      </c>
      <c r="C143" s="2">
        <v>115.24</v>
      </c>
      <c r="D143" s="2">
        <v>112.94</v>
      </c>
      <c r="E143" s="2">
        <v>113.19</v>
      </c>
      <c r="F143" s="2">
        <v>111.17</v>
      </c>
      <c r="G143" s="3">
        <v>17968900</v>
      </c>
    </row>
    <row r="144" spans="1:7" x14ac:dyDescent="0.3">
      <c r="A144" s="1">
        <v>45825</v>
      </c>
      <c r="B144" s="2">
        <v>113.95</v>
      </c>
      <c r="C144" s="2">
        <v>114.93</v>
      </c>
      <c r="D144" s="2">
        <v>113.11</v>
      </c>
      <c r="E144" s="2">
        <v>114</v>
      </c>
      <c r="F144" s="2">
        <v>111.97</v>
      </c>
      <c r="G144" s="3">
        <v>19451700</v>
      </c>
    </row>
    <row r="145" spans="1:7" x14ac:dyDescent="0.3">
      <c r="A145" s="1">
        <v>45824</v>
      </c>
      <c r="B145" s="2">
        <v>111.82</v>
      </c>
      <c r="C145" s="2">
        <v>113.16</v>
      </c>
      <c r="D145" s="2">
        <v>111.13</v>
      </c>
      <c r="E145" s="2">
        <v>112.48</v>
      </c>
      <c r="F145" s="2">
        <v>110.48</v>
      </c>
      <c r="G145" s="3">
        <v>22986100</v>
      </c>
    </row>
    <row r="146" spans="1:7" x14ac:dyDescent="0.3">
      <c r="A146" s="1">
        <v>45821</v>
      </c>
      <c r="B146" s="2">
        <v>112.35</v>
      </c>
      <c r="C146" s="2">
        <v>112.53</v>
      </c>
      <c r="D146" s="2">
        <v>110.68</v>
      </c>
      <c r="E146" s="2">
        <v>112.12</v>
      </c>
      <c r="F146" s="2">
        <v>110.12</v>
      </c>
      <c r="G146" s="3">
        <v>28540200</v>
      </c>
    </row>
    <row r="147" spans="1:7" x14ac:dyDescent="0.3">
      <c r="A147" s="1">
        <v>45820</v>
      </c>
      <c r="B147" s="2">
        <v>108.92</v>
      </c>
      <c r="C147" s="2">
        <v>110.19</v>
      </c>
      <c r="D147" s="2">
        <v>108.22</v>
      </c>
      <c r="E147" s="2">
        <v>109.73</v>
      </c>
      <c r="F147" s="2">
        <v>107.78</v>
      </c>
      <c r="G147" s="3">
        <v>17469400</v>
      </c>
    </row>
    <row r="148" spans="1:7" x14ac:dyDescent="0.3">
      <c r="A148" s="1">
        <v>45819</v>
      </c>
      <c r="B148" s="2">
        <v>107.76</v>
      </c>
      <c r="C148" s="2">
        <v>109.39</v>
      </c>
      <c r="D148" s="2">
        <v>106.46</v>
      </c>
      <c r="E148" s="2">
        <v>109.31</v>
      </c>
      <c r="F148" s="2">
        <v>107.36</v>
      </c>
      <c r="G148" s="3">
        <v>22648200</v>
      </c>
    </row>
    <row r="149" spans="1:7" x14ac:dyDescent="0.3">
      <c r="A149" s="1">
        <v>45818</v>
      </c>
      <c r="B149" s="2">
        <v>106.08</v>
      </c>
      <c r="C149" s="2">
        <v>107.65</v>
      </c>
      <c r="D149" s="2">
        <v>105.93</v>
      </c>
      <c r="E149" s="2">
        <v>107.22</v>
      </c>
      <c r="F149" s="2">
        <v>105.31</v>
      </c>
      <c r="G149" s="3">
        <v>17634800</v>
      </c>
    </row>
    <row r="150" spans="1:7" x14ac:dyDescent="0.3">
      <c r="A150" s="1">
        <v>45817</v>
      </c>
      <c r="B150" s="2">
        <v>104.33</v>
      </c>
      <c r="C150" s="2">
        <v>105.85</v>
      </c>
      <c r="D150" s="2">
        <v>103.83</v>
      </c>
      <c r="E150" s="2">
        <v>104.97</v>
      </c>
      <c r="F150" s="2">
        <v>103.1</v>
      </c>
      <c r="G150" s="3">
        <v>17087300</v>
      </c>
    </row>
    <row r="151" spans="1:7" x14ac:dyDescent="0.3">
      <c r="A151" s="1">
        <v>45814</v>
      </c>
      <c r="B151" s="2">
        <v>102.76</v>
      </c>
      <c r="C151" s="2">
        <v>104.5</v>
      </c>
      <c r="D151" s="2">
        <v>102.68</v>
      </c>
      <c r="E151" s="2">
        <v>104.27</v>
      </c>
      <c r="F151" s="2">
        <v>102.41</v>
      </c>
      <c r="G151" s="3">
        <v>15487800</v>
      </c>
    </row>
    <row r="152" spans="1:7" x14ac:dyDescent="0.3">
      <c r="A152" s="1">
        <v>45813</v>
      </c>
      <c r="B152" s="2">
        <v>102.98</v>
      </c>
      <c r="C152" s="2">
        <v>103.05</v>
      </c>
      <c r="D152" s="2">
        <v>101.73</v>
      </c>
      <c r="E152" s="2">
        <v>101.83</v>
      </c>
      <c r="F152" s="2">
        <v>100.02</v>
      </c>
      <c r="G152" s="3">
        <v>13924800</v>
      </c>
    </row>
    <row r="153" spans="1:7" x14ac:dyDescent="0.3">
      <c r="A153" s="1">
        <v>45812</v>
      </c>
      <c r="B153" s="2">
        <v>103.92</v>
      </c>
      <c r="C153" s="2">
        <v>104.92</v>
      </c>
      <c r="D153" s="2">
        <v>102.3</v>
      </c>
      <c r="E153" s="2">
        <v>102.3</v>
      </c>
      <c r="F153" s="2">
        <v>100.48</v>
      </c>
      <c r="G153" s="3">
        <v>15648500</v>
      </c>
    </row>
    <row r="154" spans="1:7" x14ac:dyDescent="0.3">
      <c r="A154" s="1">
        <v>45811</v>
      </c>
      <c r="B154" s="2">
        <v>102.9</v>
      </c>
      <c r="C154" s="2">
        <v>104.68</v>
      </c>
      <c r="D154" s="2">
        <v>102.21</v>
      </c>
      <c r="E154" s="2">
        <v>103.8</v>
      </c>
      <c r="F154" s="2">
        <v>101.95</v>
      </c>
      <c r="G154" s="3">
        <v>19194300</v>
      </c>
    </row>
    <row r="155" spans="1:7" x14ac:dyDescent="0.3">
      <c r="A155" s="1">
        <v>45810</v>
      </c>
      <c r="B155" s="2">
        <v>103.75</v>
      </c>
      <c r="C155" s="2">
        <v>103.85</v>
      </c>
      <c r="D155" s="2">
        <v>102.22</v>
      </c>
      <c r="E155" s="2">
        <v>103.05</v>
      </c>
      <c r="F155" s="2">
        <v>101.21</v>
      </c>
      <c r="G155" s="3">
        <v>17290500</v>
      </c>
    </row>
    <row r="156" spans="1:7" x14ac:dyDescent="0.3">
      <c r="A156" s="1">
        <v>45807</v>
      </c>
      <c r="B156" s="2">
        <v>102.16</v>
      </c>
      <c r="C156" s="2">
        <v>102.39</v>
      </c>
      <c r="D156" s="2">
        <v>101.19</v>
      </c>
      <c r="E156" s="2">
        <v>102.3</v>
      </c>
      <c r="F156" s="2">
        <v>100.48</v>
      </c>
      <c r="G156" s="3">
        <v>28645800</v>
      </c>
    </row>
    <row r="157" spans="1:7" x14ac:dyDescent="0.3">
      <c r="A157" s="1">
        <v>45806</v>
      </c>
      <c r="B157" s="2">
        <v>102.28</v>
      </c>
      <c r="C157" s="2">
        <v>102.85</v>
      </c>
      <c r="D157" s="2">
        <v>101.75</v>
      </c>
      <c r="E157" s="2">
        <v>102.69</v>
      </c>
      <c r="F157" s="2">
        <v>100.86</v>
      </c>
      <c r="G157" s="3">
        <v>13825300</v>
      </c>
    </row>
    <row r="158" spans="1:7" x14ac:dyDescent="0.3">
      <c r="A158" s="1">
        <v>45805</v>
      </c>
      <c r="B158" s="2">
        <v>104.29</v>
      </c>
      <c r="C158" s="2">
        <v>104.43</v>
      </c>
      <c r="D158" s="2">
        <v>101.79</v>
      </c>
      <c r="E158" s="2">
        <v>102.11</v>
      </c>
      <c r="F158" s="2">
        <v>100.29</v>
      </c>
      <c r="G158" s="3">
        <v>14292400</v>
      </c>
    </row>
    <row r="159" spans="1:7" x14ac:dyDescent="0.3">
      <c r="A159" s="1">
        <v>45804</v>
      </c>
      <c r="B159" s="2">
        <v>103.49</v>
      </c>
      <c r="C159" s="2">
        <v>103.86</v>
      </c>
      <c r="D159" s="2">
        <v>102.9</v>
      </c>
      <c r="E159" s="2">
        <v>103.52</v>
      </c>
      <c r="F159" s="2">
        <v>101.68</v>
      </c>
      <c r="G159" s="3">
        <v>13043600</v>
      </c>
    </row>
    <row r="160" spans="1:7" x14ac:dyDescent="0.3">
      <c r="A160" s="1">
        <v>45800</v>
      </c>
      <c r="B160" s="2">
        <v>102.6</v>
      </c>
      <c r="C160" s="2">
        <v>103.47</v>
      </c>
      <c r="D160" s="2">
        <v>102.07</v>
      </c>
      <c r="E160" s="2">
        <v>103.03</v>
      </c>
      <c r="F160" s="2">
        <v>101.19</v>
      </c>
      <c r="G160" s="3">
        <v>12061600</v>
      </c>
    </row>
    <row r="161" spans="1:7" x14ac:dyDescent="0.3">
      <c r="A161" s="1">
        <v>45799</v>
      </c>
      <c r="B161" s="2">
        <v>103.06</v>
      </c>
      <c r="C161" s="2">
        <v>103.47</v>
      </c>
      <c r="D161" s="2">
        <v>101.89</v>
      </c>
      <c r="E161" s="2">
        <v>102.97</v>
      </c>
      <c r="F161" s="2">
        <v>101.14</v>
      </c>
      <c r="G161" s="3">
        <v>13417400</v>
      </c>
    </row>
    <row r="162" spans="1:7" x14ac:dyDescent="0.3">
      <c r="A162" s="1">
        <v>45798</v>
      </c>
      <c r="B162" s="2">
        <v>104.53</v>
      </c>
      <c r="C162" s="2">
        <v>104.97</v>
      </c>
      <c r="D162" s="2">
        <v>103.64</v>
      </c>
      <c r="E162" s="2">
        <v>103.66</v>
      </c>
      <c r="F162" s="2">
        <v>101.81</v>
      </c>
      <c r="G162" s="3">
        <v>16716100</v>
      </c>
    </row>
    <row r="163" spans="1:7" x14ac:dyDescent="0.3">
      <c r="A163" s="1">
        <v>45797</v>
      </c>
      <c r="B163" s="2">
        <v>106.39</v>
      </c>
      <c r="C163" s="2">
        <v>106.72</v>
      </c>
      <c r="D163" s="2">
        <v>104.78</v>
      </c>
      <c r="E163" s="2">
        <v>104.95</v>
      </c>
      <c r="F163" s="2">
        <v>103.08</v>
      </c>
      <c r="G163" s="3">
        <v>12429300</v>
      </c>
    </row>
    <row r="164" spans="1:7" x14ac:dyDescent="0.3">
      <c r="A164" s="1">
        <v>45796</v>
      </c>
      <c r="B164" s="2">
        <v>107.57</v>
      </c>
      <c r="C164" s="2">
        <v>107.57</v>
      </c>
      <c r="D164" s="2">
        <v>105.72</v>
      </c>
      <c r="E164" s="2">
        <v>106.47</v>
      </c>
      <c r="F164" s="2">
        <v>104.57</v>
      </c>
      <c r="G164" s="3">
        <v>16802700</v>
      </c>
    </row>
    <row r="165" spans="1:7" x14ac:dyDescent="0.3">
      <c r="A165" s="1">
        <v>45793</v>
      </c>
      <c r="B165" s="2">
        <v>108.65</v>
      </c>
      <c r="C165" s="2">
        <v>108.89</v>
      </c>
      <c r="D165" s="2">
        <v>107.45</v>
      </c>
      <c r="E165" s="2">
        <v>108.19</v>
      </c>
      <c r="F165" s="2">
        <v>106.26</v>
      </c>
      <c r="G165" s="3">
        <v>14042500</v>
      </c>
    </row>
    <row r="166" spans="1:7" x14ac:dyDescent="0.3">
      <c r="A166" s="1">
        <v>45792</v>
      </c>
      <c r="B166" s="2">
        <v>106.49</v>
      </c>
      <c r="C166" s="2">
        <v>108.65</v>
      </c>
      <c r="D166" s="2">
        <v>105.97</v>
      </c>
      <c r="E166" s="2">
        <v>108.58</v>
      </c>
      <c r="F166" s="2">
        <v>106.65</v>
      </c>
      <c r="G166" s="3">
        <v>15004300</v>
      </c>
    </row>
    <row r="167" spans="1:7" x14ac:dyDescent="0.3">
      <c r="A167" s="1">
        <v>45791</v>
      </c>
      <c r="B167" s="2">
        <v>108.86</v>
      </c>
      <c r="C167" s="2">
        <v>108.86</v>
      </c>
      <c r="D167" s="2">
        <v>107.93</v>
      </c>
      <c r="E167" s="2">
        <v>108.48</v>
      </c>
      <c r="F167" s="2">
        <v>105.58</v>
      </c>
      <c r="G167" s="3">
        <v>15494900</v>
      </c>
    </row>
    <row r="168" spans="1:7" x14ac:dyDescent="0.3">
      <c r="A168" s="1">
        <v>45790</v>
      </c>
      <c r="B168" s="2">
        <v>109.32</v>
      </c>
      <c r="C168" s="2">
        <v>110.51</v>
      </c>
      <c r="D168" s="2">
        <v>109.02</v>
      </c>
      <c r="E168" s="2">
        <v>109.46</v>
      </c>
      <c r="F168" s="2">
        <v>106.53</v>
      </c>
      <c r="G168" s="3">
        <v>13350800</v>
      </c>
    </row>
    <row r="169" spans="1:7" x14ac:dyDescent="0.3">
      <c r="A169" s="1">
        <v>45789</v>
      </c>
      <c r="B169" s="2">
        <v>110.27</v>
      </c>
      <c r="C169" s="2">
        <v>110.44</v>
      </c>
      <c r="D169" s="2">
        <v>108.32</v>
      </c>
      <c r="E169" s="2">
        <v>109.16</v>
      </c>
      <c r="F169" s="2">
        <v>106.24</v>
      </c>
      <c r="G169" s="3">
        <v>14244600</v>
      </c>
    </row>
    <row r="170" spans="1:7" x14ac:dyDescent="0.3">
      <c r="A170" s="1">
        <v>45786</v>
      </c>
      <c r="B170" s="2">
        <v>107.14</v>
      </c>
      <c r="C170" s="2">
        <v>107.75</v>
      </c>
      <c r="D170" s="2">
        <v>106.38</v>
      </c>
      <c r="E170" s="2">
        <v>107.31</v>
      </c>
      <c r="F170" s="2">
        <v>104.44</v>
      </c>
      <c r="G170" s="3">
        <v>10992100</v>
      </c>
    </row>
    <row r="171" spans="1:7" x14ac:dyDescent="0.3">
      <c r="A171" s="1">
        <v>45785</v>
      </c>
      <c r="B171" s="2">
        <v>105.34</v>
      </c>
      <c r="C171" s="2">
        <v>107.39</v>
      </c>
      <c r="D171" s="2">
        <v>105.34</v>
      </c>
      <c r="E171" s="2">
        <v>106.07</v>
      </c>
      <c r="F171" s="2">
        <v>103.23</v>
      </c>
      <c r="G171" s="3">
        <v>19196500</v>
      </c>
    </row>
    <row r="172" spans="1:7" x14ac:dyDescent="0.3">
      <c r="A172" s="1">
        <v>45784</v>
      </c>
      <c r="B172" s="2">
        <v>104.99</v>
      </c>
      <c r="C172" s="2">
        <v>105.29</v>
      </c>
      <c r="D172" s="2">
        <v>104.07</v>
      </c>
      <c r="E172" s="2">
        <v>104.61</v>
      </c>
      <c r="F172" s="2">
        <v>101.81</v>
      </c>
      <c r="G172" s="3">
        <v>12332200</v>
      </c>
    </row>
    <row r="173" spans="1:7" x14ac:dyDescent="0.3">
      <c r="A173" s="1">
        <v>45783</v>
      </c>
      <c r="B173" s="2">
        <v>103.89</v>
      </c>
      <c r="C173" s="2">
        <v>105.98</v>
      </c>
      <c r="D173" s="2">
        <v>103.48</v>
      </c>
      <c r="E173" s="2">
        <v>104.71</v>
      </c>
      <c r="F173" s="2">
        <v>101.91</v>
      </c>
      <c r="G173" s="3">
        <v>16303400</v>
      </c>
    </row>
    <row r="174" spans="1:7" x14ac:dyDescent="0.3">
      <c r="A174" s="1">
        <v>45782</v>
      </c>
      <c r="B174" s="2">
        <v>104.65</v>
      </c>
      <c r="C174" s="2">
        <v>104.66</v>
      </c>
      <c r="D174" s="2">
        <v>103.07</v>
      </c>
      <c r="E174" s="2">
        <v>103.27</v>
      </c>
      <c r="F174" s="2">
        <v>100.51</v>
      </c>
      <c r="G174" s="3">
        <v>19624000</v>
      </c>
    </row>
    <row r="175" spans="1:7" x14ac:dyDescent="0.3">
      <c r="A175" s="1">
        <v>45779</v>
      </c>
      <c r="B175" s="2">
        <v>107.72</v>
      </c>
      <c r="C175" s="2">
        <v>109</v>
      </c>
      <c r="D175" s="2">
        <v>104.55</v>
      </c>
      <c r="E175" s="2">
        <v>106.21</v>
      </c>
      <c r="F175" s="2">
        <v>103.37</v>
      </c>
      <c r="G175" s="3">
        <v>16581900</v>
      </c>
    </row>
    <row r="176" spans="1:7" x14ac:dyDescent="0.3">
      <c r="A176" s="1">
        <v>45778</v>
      </c>
      <c r="B176" s="2">
        <v>105.1</v>
      </c>
      <c r="C176" s="2">
        <v>106.92</v>
      </c>
      <c r="D176" s="2">
        <v>104.98</v>
      </c>
      <c r="E176" s="2">
        <v>105.78</v>
      </c>
      <c r="F176" s="2">
        <v>102.95</v>
      </c>
      <c r="G176" s="3">
        <v>18610300</v>
      </c>
    </row>
    <row r="177" spans="1:7" x14ac:dyDescent="0.3">
      <c r="A177" s="1">
        <v>45777</v>
      </c>
      <c r="B177" s="2">
        <v>107.42</v>
      </c>
      <c r="C177" s="2">
        <v>107.42</v>
      </c>
      <c r="D177" s="2">
        <v>104.15</v>
      </c>
      <c r="E177" s="2">
        <v>105.63</v>
      </c>
      <c r="F177" s="2">
        <v>102.8</v>
      </c>
      <c r="G177" s="3">
        <v>20379300</v>
      </c>
    </row>
    <row r="178" spans="1:7" x14ac:dyDescent="0.3">
      <c r="A178" s="1">
        <v>45776</v>
      </c>
      <c r="B178" s="2">
        <v>107.74</v>
      </c>
      <c r="C178" s="2">
        <v>108.83</v>
      </c>
      <c r="D178" s="2">
        <v>107.52</v>
      </c>
      <c r="E178" s="2">
        <v>108.36</v>
      </c>
      <c r="F178" s="2">
        <v>105.46</v>
      </c>
      <c r="G178" s="3">
        <v>9483100</v>
      </c>
    </row>
    <row r="179" spans="1:7" x14ac:dyDescent="0.3">
      <c r="A179" s="1">
        <v>45775</v>
      </c>
      <c r="B179" s="2">
        <v>108.75</v>
      </c>
      <c r="C179" s="2">
        <v>109.25</v>
      </c>
      <c r="D179" s="2">
        <v>107.68</v>
      </c>
      <c r="E179" s="2">
        <v>108.63</v>
      </c>
      <c r="F179" s="2">
        <v>105.72</v>
      </c>
      <c r="G179" s="3">
        <v>13890900</v>
      </c>
    </row>
    <row r="180" spans="1:7" x14ac:dyDescent="0.3">
      <c r="A180" s="1">
        <v>45772</v>
      </c>
      <c r="B180" s="2">
        <v>108.14</v>
      </c>
      <c r="C180" s="2">
        <v>108.76</v>
      </c>
      <c r="D180" s="2">
        <v>107.42</v>
      </c>
      <c r="E180" s="2">
        <v>108.57</v>
      </c>
      <c r="F180" s="2">
        <v>105.66</v>
      </c>
      <c r="G180" s="3">
        <v>11245800</v>
      </c>
    </row>
    <row r="181" spans="1:7" x14ac:dyDescent="0.3">
      <c r="A181" s="1">
        <v>45771</v>
      </c>
      <c r="B181" s="2">
        <v>107.97</v>
      </c>
      <c r="C181" s="2">
        <v>108.88</v>
      </c>
      <c r="D181" s="2">
        <v>106.96</v>
      </c>
      <c r="E181" s="2">
        <v>108.63</v>
      </c>
      <c r="F181" s="2">
        <v>105.72</v>
      </c>
      <c r="G181" s="3">
        <v>9849600</v>
      </c>
    </row>
    <row r="182" spans="1:7" x14ac:dyDescent="0.3">
      <c r="A182" s="1">
        <v>45770</v>
      </c>
      <c r="B182" s="2">
        <v>108.81</v>
      </c>
      <c r="C182" s="2">
        <v>109.3</v>
      </c>
      <c r="D182" s="2">
        <v>106.47</v>
      </c>
      <c r="E182" s="2">
        <v>107.37</v>
      </c>
      <c r="F182" s="2">
        <v>104.5</v>
      </c>
      <c r="G182" s="3">
        <v>14235700</v>
      </c>
    </row>
    <row r="183" spans="1:7" x14ac:dyDescent="0.3">
      <c r="A183" s="1">
        <v>45769</v>
      </c>
      <c r="B183" s="2">
        <v>106.14</v>
      </c>
      <c r="C183" s="2">
        <v>108.94</v>
      </c>
      <c r="D183" s="2">
        <v>106.14</v>
      </c>
      <c r="E183" s="2">
        <v>108.3</v>
      </c>
      <c r="F183" s="2">
        <v>105.4</v>
      </c>
      <c r="G183" s="3">
        <v>13147000</v>
      </c>
    </row>
    <row r="184" spans="1:7" x14ac:dyDescent="0.3">
      <c r="A184" s="1">
        <v>45768</v>
      </c>
      <c r="B184" s="2">
        <v>105.61</v>
      </c>
      <c r="C184" s="2">
        <v>105.63</v>
      </c>
      <c r="D184" s="2">
        <v>104.12</v>
      </c>
      <c r="E184" s="2">
        <v>105.35</v>
      </c>
      <c r="F184" s="2">
        <v>102.53</v>
      </c>
      <c r="G184" s="3">
        <v>16926500</v>
      </c>
    </row>
    <row r="185" spans="1:7" x14ac:dyDescent="0.3">
      <c r="A185" s="1">
        <v>45764</v>
      </c>
      <c r="B185" s="2">
        <v>104.69</v>
      </c>
      <c r="C185" s="2">
        <v>108.55</v>
      </c>
      <c r="D185" s="2">
        <v>104.46</v>
      </c>
      <c r="E185" s="2">
        <v>106.92</v>
      </c>
      <c r="F185" s="2">
        <v>104.06</v>
      </c>
      <c r="G185" s="3">
        <v>17916500</v>
      </c>
    </row>
    <row r="186" spans="1:7" x14ac:dyDescent="0.3">
      <c r="A186" s="1">
        <v>45763</v>
      </c>
      <c r="B186" s="2">
        <v>103.95</v>
      </c>
      <c r="C186" s="2">
        <v>105.59</v>
      </c>
      <c r="D186" s="2">
        <v>103.7</v>
      </c>
      <c r="E186" s="2">
        <v>104.19</v>
      </c>
      <c r="F186" s="2">
        <v>101.4</v>
      </c>
      <c r="G186" s="3">
        <v>13607000</v>
      </c>
    </row>
    <row r="187" spans="1:7" x14ac:dyDescent="0.3">
      <c r="A187" s="1">
        <v>45762</v>
      </c>
      <c r="B187" s="2">
        <v>103.64</v>
      </c>
      <c r="C187" s="2">
        <v>105.41</v>
      </c>
      <c r="D187" s="2">
        <v>103</v>
      </c>
      <c r="E187" s="2">
        <v>103.1</v>
      </c>
      <c r="F187" s="2">
        <v>100.34</v>
      </c>
      <c r="G187" s="3">
        <v>13164900</v>
      </c>
    </row>
    <row r="188" spans="1:7" x14ac:dyDescent="0.3">
      <c r="A188" s="1">
        <v>45761</v>
      </c>
      <c r="B188" s="2">
        <v>105.03</v>
      </c>
      <c r="C188" s="2">
        <v>105.09</v>
      </c>
      <c r="D188" s="2">
        <v>102.72</v>
      </c>
      <c r="E188" s="2">
        <v>103.39</v>
      </c>
      <c r="F188" s="2">
        <v>100.62</v>
      </c>
      <c r="G188" s="3">
        <v>18020000</v>
      </c>
    </row>
    <row r="189" spans="1:7" x14ac:dyDescent="0.3">
      <c r="A189" s="1">
        <v>45758</v>
      </c>
      <c r="B189" s="2">
        <v>100.3</v>
      </c>
      <c r="C189" s="2">
        <v>103.93</v>
      </c>
      <c r="D189" s="2">
        <v>98.79</v>
      </c>
      <c r="E189" s="2">
        <v>103.14</v>
      </c>
      <c r="F189" s="2">
        <v>100.38</v>
      </c>
      <c r="G189" s="3">
        <v>22884600</v>
      </c>
    </row>
    <row r="190" spans="1:7" x14ac:dyDescent="0.3">
      <c r="A190" s="1">
        <v>45757</v>
      </c>
      <c r="B190" s="2">
        <v>103.71</v>
      </c>
      <c r="C190" s="2">
        <v>103.78</v>
      </c>
      <c r="D190" s="2">
        <v>97.8</v>
      </c>
      <c r="E190" s="2">
        <v>99.93</v>
      </c>
      <c r="F190" s="2">
        <v>97.25</v>
      </c>
      <c r="G190" s="3">
        <v>33999300</v>
      </c>
    </row>
    <row r="191" spans="1:7" x14ac:dyDescent="0.3">
      <c r="A191" s="1">
        <v>45756</v>
      </c>
      <c r="B191" s="2">
        <v>99.37</v>
      </c>
      <c r="C191" s="2">
        <v>106.58</v>
      </c>
      <c r="D191" s="2">
        <v>98.13</v>
      </c>
      <c r="E191" s="2">
        <v>105.8</v>
      </c>
      <c r="F191" s="2">
        <v>102.97</v>
      </c>
      <c r="G191" s="3">
        <v>30063300</v>
      </c>
    </row>
    <row r="192" spans="1:7" x14ac:dyDescent="0.3">
      <c r="A192" s="1">
        <v>45755</v>
      </c>
      <c r="B192" s="2">
        <v>105.46</v>
      </c>
      <c r="C192" s="2">
        <v>105.6</v>
      </c>
      <c r="D192" s="2">
        <v>99.01</v>
      </c>
      <c r="E192" s="2">
        <v>100.77</v>
      </c>
      <c r="F192" s="2">
        <v>98.07</v>
      </c>
      <c r="G192" s="3">
        <v>27147800</v>
      </c>
    </row>
    <row r="193" spans="1:7" x14ac:dyDescent="0.3">
      <c r="A193" s="1">
        <v>45754</v>
      </c>
      <c r="B193" s="2">
        <v>100.39</v>
      </c>
      <c r="C193" s="2">
        <v>105.8</v>
      </c>
      <c r="D193" s="2">
        <v>98.46</v>
      </c>
      <c r="E193" s="2">
        <v>102.94</v>
      </c>
      <c r="F193" s="2">
        <v>100.18</v>
      </c>
      <c r="G193" s="3">
        <v>35068500</v>
      </c>
    </row>
    <row r="194" spans="1:7" x14ac:dyDescent="0.3">
      <c r="A194" s="1">
        <v>45751</v>
      </c>
      <c r="B194" s="2">
        <v>109.87</v>
      </c>
      <c r="C194" s="2">
        <v>110.83</v>
      </c>
      <c r="D194" s="2">
        <v>103.83</v>
      </c>
      <c r="E194" s="2">
        <v>104.34</v>
      </c>
      <c r="F194" s="2">
        <v>101.55</v>
      </c>
      <c r="G194" s="3">
        <v>30841300</v>
      </c>
    </row>
    <row r="195" spans="1:7" x14ac:dyDescent="0.3">
      <c r="A195" s="1">
        <v>45750</v>
      </c>
      <c r="B195" s="2">
        <v>114.37</v>
      </c>
      <c r="C195" s="2">
        <v>115.45</v>
      </c>
      <c r="D195" s="2">
        <v>112.23</v>
      </c>
      <c r="E195" s="2">
        <v>112.43</v>
      </c>
      <c r="F195" s="2">
        <v>109.42</v>
      </c>
      <c r="G195" s="3">
        <v>21204600</v>
      </c>
    </row>
    <row r="196" spans="1:7" x14ac:dyDescent="0.3">
      <c r="A196" s="1">
        <v>45749</v>
      </c>
      <c r="B196" s="2">
        <v>118.39</v>
      </c>
      <c r="C196" s="2">
        <v>118.84</v>
      </c>
      <c r="D196" s="2">
        <v>117.66</v>
      </c>
      <c r="E196" s="2">
        <v>118.67</v>
      </c>
      <c r="F196" s="2">
        <v>115.49</v>
      </c>
      <c r="G196" s="3">
        <v>12614600</v>
      </c>
    </row>
    <row r="197" spans="1:7" x14ac:dyDescent="0.3">
      <c r="A197" s="1">
        <v>45748</v>
      </c>
      <c r="B197" s="2">
        <v>119.22</v>
      </c>
      <c r="C197" s="2">
        <v>119.28</v>
      </c>
      <c r="D197" s="2">
        <v>117.93</v>
      </c>
      <c r="E197" s="2">
        <v>119.04</v>
      </c>
      <c r="F197" s="2">
        <v>115.85</v>
      </c>
      <c r="G197" s="3">
        <v>12425400</v>
      </c>
    </row>
    <row r="198" spans="1:7" x14ac:dyDescent="0.3">
      <c r="A198" s="1">
        <v>45747</v>
      </c>
      <c r="B198" s="2">
        <v>117.79</v>
      </c>
      <c r="C198" s="2">
        <v>119.91</v>
      </c>
      <c r="D198" s="2">
        <v>117.79</v>
      </c>
      <c r="E198" s="2">
        <v>118.93</v>
      </c>
      <c r="F198" s="2">
        <v>115.75</v>
      </c>
      <c r="G198" s="3">
        <v>21652300</v>
      </c>
    </row>
    <row r="199" spans="1:7" x14ac:dyDescent="0.3">
      <c r="A199" s="1">
        <v>45744</v>
      </c>
      <c r="B199" s="2">
        <v>118.1</v>
      </c>
      <c r="C199" s="2">
        <v>118.46</v>
      </c>
      <c r="D199" s="2">
        <v>117.24</v>
      </c>
      <c r="E199" s="2">
        <v>117.73</v>
      </c>
      <c r="F199" s="2">
        <v>114.58</v>
      </c>
      <c r="G199" s="3">
        <v>10233400</v>
      </c>
    </row>
    <row r="200" spans="1:7" x14ac:dyDescent="0.3">
      <c r="A200" s="1">
        <v>45743</v>
      </c>
      <c r="B200" s="2">
        <v>118.1</v>
      </c>
      <c r="C200" s="2">
        <v>119.07</v>
      </c>
      <c r="D200" s="2">
        <v>117.26</v>
      </c>
      <c r="E200" s="2">
        <v>117.89</v>
      </c>
      <c r="F200" s="2">
        <v>114.73</v>
      </c>
      <c r="G200" s="3">
        <v>12740800</v>
      </c>
    </row>
    <row r="201" spans="1:7" x14ac:dyDescent="0.3">
      <c r="A201" s="1">
        <v>45742</v>
      </c>
      <c r="B201" s="2">
        <v>117.68</v>
      </c>
      <c r="C201" s="2">
        <v>119.18</v>
      </c>
      <c r="D201" s="2">
        <v>117.68</v>
      </c>
      <c r="E201" s="2">
        <v>118.27</v>
      </c>
      <c r="F201" s="2">
        <v>115.1</v>
      </c>
      <c r="G201" s="3">
        <v>14110800</v>
      </c>
    </row>
    <row r="202" spans="1:7" x14ac:dyDescent="0.3">
      <c r="A202" s="1">
        <v>45741</v>
      </c>
      <c r="B202" s="2">
        <v>116.43</v>
      </c>
      <c r="C202" s="2">
        <v>117.64</v>
      </c>
      <c r="D202" s="2">
        <v>115.96</v>
      </c>
      <c r="E202" s="2">
        <v>116.59</v>
      </c>
      <c r="F202" s="2">
        <v>113.47</v>
      </c>
      <c r="G202" s="3">
        <v>12081800</v>
      </c>
    </row>
    <row r="203" spans="1:7" x14ac:dyDescent="0.3">
      <c r="A203" s="1">
        <v>45740</v>
      </c>
      <c r="B203" s="2">
        <v>115.68</v>
      </c>
      <c r="C203" s="2">
        <v>116.91</v>
      </c>
      <c r="D203" s="2">
        <v>115.58</v>
      </c>
      <c r="E203" s="2">
        <v>115.8</v>
      </c>
      <c r="F203" s="2">
        <v>112.7</v>
      </c>
      <c r="G203" s="3">
        <v>14207500</v>
      </c>
    </row>
    <row r="204" spans="1:7" x14ac:dyDescent="0.3">
      <c r="A204" s="1">
        <v>45737</v>
      </c>
      <c r="B204" s="2">
        <v>115.5</v>
      </c>
      <c r="C204" s="2">
        <v>115.99</v>
      </c>
      <c r="D204" s="2">
        <v>114.35</v>
      </c>
      <c r="E204" s="2">
        <v>115.5</v>
      </c>
      <c r="F204" s="2">
        <v>112.41</v>
      </c>
      <c r="G204" s="3">
        <v>41102800</v>
      </c>
    </row>
    <row r="205" spans="1:7" x14ac:dyDescent="0.3">
      <c r="A205" s="1">
        <v>45736</v>
      </c>
      <c r="B205" s="2">
        <v>114.72</v>
      </c>
      <c r="C205" s="2">
        <v>116.47</v>
      </c>
      <c r="D205" s="2">
        <v>114.21</v>
      </c>
      <c r="E205" s="2">
        <v>115.9</v>
      </c>
      <c r="F205" s="2">
        <v>112.8</v>
      </c>
      <c r="G205" s="3">
        <v>16230800</v>
      </c>
    </row>
    <row r="206" spans="1:7" x14ac:dyDescent="0.3">
      <c r="A206" s="1">
        <v>45735</v>
      </c>
      <c r="B206" s="2">
        <v>114.2</v>
      </c>
      <c r="C206" s="2">
        <v>115.82</v>
      </c>
      <c r="D206" s="2">
        <v>113.83</v>
      </c>
      <c r="E206" s="2">
        <v>115.41</v>
      </c>
      <c r="F206" s="2">
        <v>112.32</v>
      </c>
      <c r="G206" s="3">
        <v>17315000</v>
      </c>
    </row>
    <row r="207" spans="1:7" x14ac:dyDescent="0.3">
      <c r="A207" s="1">
        <v>45734</v>
      </c>
      <c r="B207" s="2">
        <v>114.09</v>
      </c>
      <c r="C207" s="2">
        <v>114.54</v>
      </c>
      <c r="D207" s="2">
        <v>112.57</v>
      </c>
      <c r="E207" s="2">
        <v>113.64</v>
      </c>
      <c r="F207" s="2">
        <v>110.6</v>
      </c>
      <c r="G207" s="3">
        <v>15998700</v>
      </c>
    </row>
    <row r="208" spans="1:7" x14ac:dyDescent="0.3">
      <c r="A208" s="1">
        <v>45733</v>
      </c>
      <c r="B208" s="2">
        <v>111.8</v>
      </c>
      <c r="C208" s="2">
        <v>114.5</v>
      </c>
      <c r="D208" s="2">
        <v>111.73</v>
      </c>
      <c r="E208" s="2">
        <v>113.76</v>
      </c>
      <c r="F208" s="2">
        <v>110.71</v>
      </c>
      <c r="G208" s="3">
        <v>19908800</v>
      </c>
    </row>
    <row r="209" spans="1:7" x14ac:dyDescent="0.3">
      <c r="A209" s="1">
        <v>45730</v>
      </c>
      <c r="B209" s="2">
        <v>108.94</v>
      </c>
      <c r="C209" s="2">
        <v>112.18</v>
      </c>
      <c r="D209" s="2">
        <v>108.31</v>
      </c>
      <c r="E209" s="2">
        <v>111.9</v>
      </c>
      <c r="F209" s="2">
        <v>108.9</v>
      </c>
      <c r="G209" s="3">
        <v>15890100</v>
      </c>
    </row>
    <row r="210" spans="1:7" x14ac:dyDescent="0.3">
      <c r="A210" s="1">
        <v>45729</v>
      </c>
      <c r="B210" s="2">
        <v>108.33</v>
      </c>
      <c r="C210" s="2">
        <v>110.82</v>
      </c>
      <c r="D210" s="2">
        <v>107.63</v>
      </c>
      <c r="E210" s="2">
        <v>108.67</v>
      </c>
      <c r="F210" s="2">
        <v>105.76</v>
      </c>
      <c r="G210" s="3">
        <v>17767800</v>
      </c>
    </row>
    <row r="211" spans="1:7" x14ac:dyDescent="0.3">
      <c r="A211" s="1">
        <v>45728</v>
      </c>
      <c r="B211" s="2">
        <v>109.05</v>
      </c>
      <c r="C211" s="2">
        <v>110.13</v>
      </c>
      <c r="D211" s="2">
        <v>108.42</v>
      </c>
      <c r="E211" s="2">
        <v>109.13</v>
      </c>
      <c r="F211" s="2">
        <v>106.21</v>
      </c>
      <c r="G211" s="3">
        <v>14051500</v>
      </c>
    </row>
    <row r="212" spans="1:7" x14ac:dyDescent="0.3">
      <c r="A212" s="1">
        <v>45727</v>
      </c>
      <c r="B212" s="2">
        <v>111.92</v>
      </c>
      <c r="C212" s="2">
        <v>112.1</v>
      </c>
      <c r="D212" s="2">
        <v>108.79</v>
      </c>
      <c r="E212" s="2">
        <v>109.16</v>
      </c>
      <c r="F212" s="2">
        <v>106.24</v>
      </c>
      <c r="G212" s="3">
        <v>19904700</v>
      </c>
    </row>
    <row r="213" spans="1:7" x14ac:dyDescent="0.3">
      <c r="A213" s="1">
        <v>45726</v>
      </c>
      <c r="B213" s="2">
        <v>109.28</v>
      </c>
      <c r="C213" s="2">
        <v>112.57</v>
      </c>
      <c r="D213" s="2">
        <v>109.08</v>
      </c>
      <c r="E213" s="2">
        <v>111.8</v>
      </c>
      <c r="F213" s="2">
        <v>108.81</v>
      </c>
      <c r="G213" s="3">
        <v>22749100</v>
      </c>
    </row>
    <row r="214" spans="1:7" x14ac:dyDescent="0.3">
      <c r="A214" s="1">
        <v>45723</v>
      </c>
      <c r="B214" s="2">
        <v>108.41</v>
      </c>
      <c r="C214" s="2">
        <v>110.4</v>
      </c>
      <c r="D214" s="2">
        <v>108.3</v>
      </c>
      <c r="E214" s="2">
        <v>109.02</v>
      </c>
      <c r="F214" s="2">
        <v>106.1</v>
      </c>
      <c r="G214" s="3">
        <v>19625000</v>
      </c>
    </row>
    <row r="215" spans="1:7" x14ac:dyDescent="0.3">
      <c r="A215" s="1">
        <v>45722</v>
      </c>
      <c r="B215" s="2">
        <v>105.43</v>
      </c>
      <c r="C215" s="2">
        <v>108.11</v>
      </c>
      <c r="D215" s="2">
        <v>104.36</v>
      </c>
      <c r="E215" s="2">
        <v>107.62</v>
      </c>
      <c r="F215" s="2">
        <v>104.74</v>
      </c>
      <c r="G215" s="3">
        <v>17150200</v>
      </c>
    </row>
    <row r="216" spans="1:7" x14ac:dyDescent="0.3">
      <c r="A216" s="1">
        <v>45721</v>
      </c>
      <c r="B216" s="2">
        <v>105.84</v>
      </c>
      <c r="C216" s="2">
        <v>106.33</v>
      </c>
      <c r="D216" s="2">
        <v>103.67</v>
      </c>
      <c r="E216" s="2">
        <v>105.44</v>
      </c>
      <c r="F216" s="2">
        <v>102.62</v>
      </c>
      <c r="G216" s="3">
        <v>24822200</v>
      </c>
    </row>
    <row r="217" spans="1:7" x14ac:dyDescent="0.3">
      <c r="A217" s="1">
        <v>45720</v>
      </c>
      <c r="B217" s="2">
        <v>106.36</v>
      </c>
      <c r="C217" s="2">
        <v>108.96</v>
      </c>
      <c r="D217" s="2">
        <v>105.94</v>
      </c>
      <c r="E217" s="2">
        <v>107.54</v>
      </c>
      <c r="F217" s="2">
        <v>104.66</v>
      </c>
      <c r="G217" s="3">
        <v>19394900</v>
      </c>
    </row>
    <row r="218" spans="1:7" x14ac:dyDescent="0.3">
      <c r="A218" s="1">
        <v>45719</v>
      </c>
      <c r="B218" s="2">
        <v>111.7</v>
      </c>
      <c r="C218" s="2">
        <v>112.16</v>
      </c>
      <c r="D218" s="2">
        <v>106.51</v>
      </c>
      <c r="E218" s="2">
        <v>107.76</v>
      </c>
      <c r="F218" s="2">
        <v>104.87</v>
      </c>
      <c r="G218" s="3">
        <v>18706900</v>
      </c>
    </row>
    <row r="219" spans="1:7" x14ac:dyDescent="0.3">
      <c r="A219" s="1">
        <v>45716</v>
      </c>
      <c r="B219" s="2">
        <v>110.11</v>
      </c>
      <c r="C219" s="2">
        <v>111.58</v>
      </c>
      <c r="D219" s="2">
        <v>109.34</v>
      </c>
      <c r="E219" s="2">
        <v>111.33</v>
      </c>
      <c r="F219" s="2">
        <v>108.35</v>
      </c>
      <c r="G219" s="3">
        <v>18821700</v>
      </c>
    </row>
    <row r="220" spans="1:7" x14ac:dyDescent="0.3">
      <c r="A220" s="1">
        <v>45715</v>
      </c>
      <c r="B220" s="2">
        <v>110.01</v>
      </c>
      <c r="C220" s="2">
        <v>111.29</v>
      </c>
      <c r="D220" s="2">
        <v>109.28</v>
      </c>
      <c r="E220" s="2">
        <v>110.15</v>
      </c>
      <c r="F220" s="2">
        <v>107.2</v>
      </c>
      <c r="G220" s="3">
        <v>15293200</v>
      </c>
    </row>
    <row r="221" spans="1:7" x14ac:dyDescent="0.3">
      <c r="A221" s="1">
        <v>45714</v>
      </c>
      <c r="B221" s="2">
        <v>109.74</v>
      </c>
      <c r="C221" s="2">
        <v>109.87</v>
      </c>
      <c r="D221" s="2">
        <v>108.52</v>
      </c>
      <c r="E221" s="2">
        <v>109.46</v>
      </c>
      <c r="F221" s="2">
        <v>106.53</v>
      </c>
      <c r="G221" s="3">
        <v>10446400</v>
      </c>
    </row>
    <row r="222" spans="1:7" x14ac:dyDescent="0.3">
      <c r="A222" s="1">
        <v>45713</v>
      </c>
      <c r="B222" s="2">
        <v>111.3</v>
      </c>
      <c r="C222" s="2">
        <v>112.13</v>
      </c>
      <c r="D222" s="2">
        <v>108.89</v>
      </c>
      <c r="E222" s="2">
        <v>109.73</v>
      </c>
      <c r="F222" s="2">
        <v>106.79</v>
      </c>
      <c r="G222" s="3">
        <v>14497000</v>
      </c>
    </row>
    <row r="223" spans="1:7" x14ac:dyDescent="0.3">
      <c r="A223" s="1">
        <v>45712</v>
      </c>
      <c r="B223" s="2">
        <v>110.93</v>
      </c>
      <c r="C223" s="2">
        <v>111.86</v>
      </c>
      <c r="D223" s="2">
        <v>110.32</v>
      </c>
      <c r="E223" s="2">
        <v>111.27</v>
      </c>
      <c r="F223" s="2">
        <v>108.29</v>
      </c>
      <c r="G223" s="3">
        <v>13153500</v>
      </c>
    </row>
    <row r="224" spans="1:7" x14ac:dyDescent="0.3">
      <c r="A224" s="1">
        <v>45709</v>
      </c>
      <c r="B224" s="2">
        <v>111.32</v>
      </c>
      <c r="C224" s="2">
        <v>111.85</v>
      </c>
      <c r="D224" s="2">
        <v>110.56</v>
      </c>
      <c r="E224" s="2">
        <v>110.69</v>
      </c>
      <c r="F224" s="2">
        <v>107.73</v>
      </c>
      <c r="G224" s="3">
        <v>14710000</v>
      </c>
    </row>
    <row r="225" spans="1:7" x14ac:dyDescent="0.3">
      <c r="A225" s="1">
        <v>45708</v>
      </c>
      <c r="B225" s="2">
        <v>110.57</v>
      </c>
      <c r="C225" s="2">
        <v>112.42</v>
      </c>
      <c r="D225" s="2">
        <v>109.95</v>
      </c>
      <c r="E225" s="2">
        <v>112</v>
      </c>
      <c r="F225" s="2">
        <v>109</v>
      </c>
      <c r="G225" s="3">
        <v>16325800</v>
      </c>
    </row>
    <row r="226" spans="1:7" x14ac:dyDescent="0.3">
      <c r="A226" s="1">
        <v>45707</v>
      </c>
      <c r="B226" s="2">
        <v>110.76</v>
      </c>
      <c r="C226" s="2">
        <v>112.13</v>
      </c>
      <c r="D226" s="2">
        <v>110.06</v>
      </c>
      <c r="E226" s="2">
        <v>110.3</v>
      </c>
      <c r="F226" s="2">
        <v>107.35</v>
      </c>
      <c r="G226" s="3">
        <v>10964700</v>
      </c>
    </row>
    <row r="227" spans="1:7" x14ac:dyDescent="0.3">
      <c r="A227" s="1">
        <v>45706</v>
      </c>
      <c r="B227" s="2">
        <v>108.63</v>
      </c>
      <c r="C227" s="2">
        <v>110.99</v>
      </c>
      <c r="D227" s="2">
        <v>108.32</v>
      </c>
      <c r="E227" s="2">
        <v>110.14</v>
      </c>
      <c r="F227" s="2">
        <v>107.19</v>
      </c>
      <c r="G227" s="3">
        <v>20060300</v>
      </c>
    </row>
    <row r="228" spans="1:7" x14ac:dyDescent="0.3">
      <c r="A228" s="1">
        <v>45702</v>
      </c>
      <c r="B228" s="2">
        <v>108.52</v>
      </c>
      <c r="C228" s="2">
        <v>110.23</v>
      </c>
      <c r="D228" s="2">
        <v>108.1</v>
      </c>
      <c r="E228" s="2">
        <v>108.24</v>
      </c>
      <c r="F228" s="2">
        <v>105.34</v>
      </c>
      <c r="G228" s="3">
        <v>15733500</v>
      </c>
    </row>
    <row r="229" spans="1:7" x14ac:dyDescent="0.3">
      <c r="A229" s="1">
        <v>45701</v>
      </c>
      <c r="B229" s="2">
        <v>107.15</v>
      </c>
      <c r="C229" s="2">
        <v>108.41</v>
      </c>
      <c r="D229" s="2">
        <v>106.52</v>
      </c>
      <c r="E229" s="2">
        <v>108.13</v>
      </c>
      <c r="F229" s="2">
        <v>105.23</v>
      </c>
      <c r="G229" s="3">
        <v>15460000</v>
      </c>
    </row>
    <row r="230" spans="1:7" x14ac:dyDescent="0.3">
      <c r="A230" s="1">
        <v>45700</v>
      </c>
      <c r="B230" s="2">
        <v>110.05</v>
      </c>
      <c r="C230" s="2">
        <v>110.23</v>
      </c>
      <c r="D230" s="2">
        <v>107.18</v>
      </c>
      <c r="E230" s="2">
        <v>107.35</v>
      </c>
      <c r="F230" s="2">
        <v>104.48</v>
      </c>
      <c r="G230" s="3">
        <v>18244100</v>
      </c>
    </row>
    <row r="231" spans="1:7" x14ac:dyDescent="0.3">
      <c r="A231" s="1">
        <v>45699</v>
      </c>
      <c r="B231" s="2">
        <v>111.6</v>
      </c>
      <c r="C231" s="2">
        <v>112.51</v>
      </c>
      <c r="D231" s="2">
        <v>110.82</v>
      </c>
      <c r="E231" s="2">
        <v>111.67</v>
      </c>
      <c r="F231" s="2">
        <v>107.72</v>
      </c>
      <c r="G231" s="3">
        <v>12713100</v>
      </c>
    </row>
    <row r="232" spans="1:7" x14ac:dyDescent="0.3">
      <c r="A232" s="1">
        <v>45698</v>
      </c>
      <c r="B232" s="2">
        <v>110.01</v>
      </c>
      <c r="C232" s="2">
        <v>111.03</v>
      </c>
      <c r="D232" s="2">
        <v>109.88</v>
      </c>
      <c r="E232" s="2">
        <v>110.97</v>
      </c>
      <c r="F232" s="2">
        <v>107.04</v>
      </c>
      <c r="G232" s="3">
        <v>12142200</v>
      </c>
    </row>
    <row r="233" spans="1:7" x14ac:dyDescent="0.3">
      <c r="A233" s="1">
        <v>45695</v>
      </c>
      <c r="B233" s="2">
        <v>108.78</v>
      </c>
      <c r="C233" s="2">
        <v>109.73</v>
      </c>
      <c r="D233" s="2">
        <v>108.32</v>
      </c>
      <c r="E233" s="2">
        <v>108.89</v>
      </c>
      <c r="F233" s="2">
        <v>105.04</v>
      </c>
      <c r="G233" s="3">
        <v>10051600</v>
      </c>
    </row>
    <row r="234" spans="1:7" x14ac:dyDescent="0.3">
      <c r="A234" s="1">
        <v>45694</v>
      </c>
      <c r="B234" s="2">
        <v>110.77</v>
      </c>
      <c r="C234" s="2">
        <v>111.05</v>
      </c>
      <c r="D234" s="2">
        <v>107.99</v>
      </c>
      <c r="E234" s="2">
        <v>108.43</v>
      </c>
      <c r="F234" s="2">
        <v>104.59</v>
      </c>
      <c r="G234" s="3">
        <v>13411400</v>
      </c>
    </row>
    <row r="235" spans="1:7" x14ac:dyDescent="0.3">
      <c r="A235" s="1">
        <v>45693</v>
      </c>
      <c r="B235" s="2">
        <v>109.74</v>
      </c>
      <c r="C235" s="2">
        <v>110.01</v>
      </c>
      <c r="D235" s="2">
        <v>109.1</v>
      </c>
      <c r="E235" s="2">
        <v>109.88</v>
      </c>
      <c r="F235" s="2">
        <v>105.99</v>
      </c>
      <c r="G235" s="3">
        <v>13364400</v>
      </c>
    </row>
    <row r="236" spans="1:7" x14ac:dyDescent="0.3">
      <c r="A236" s="1">
        <v>45692</v>
      </c>
      <c r="B236" s="2">
        <v>106.71</v>
      </c>
      <c r="C236" s="2">
        <v>110.28</v>
      </c>
      <c r="D236" s="2">
        <v>106.53</v>
      </c>
      <c r="E236" s="2">
        <v>109.96</v>
      </c>
      <c r="F236" s="2">
        <v>106.07</v>
      </c>
      <c r="G236" s="3">
        <v>14835700</v>
      </c>
    </row>
    <row r="237" spans="1:7" x14ac:dyDescent="0.3">
      <c r="A237" s="1">
        <v>45691</v>
      </c>
      <c r="B237" s="2">
        <v>106.64</v>
      </c>
      <c r="C237" s="2">
        <v>107.3</v>
      </c>
      <c r="D237" s="2">
        <v>105.32</v>
      </c>
      <c r="E237" s="2">
        <v>107.09</v>
      </c>
      <c r="F237" s="2">
        <v>103.3</v>
      </c>
      <c r="G237" s="3">
        <v>14623200</v>
      </c>
    </row>
    <row r="238" spans="1:7" x14ac:dyDescent="0.3">
      <c r="A238" s="1">
        <v>45688</v>
      </c>
      <c r="B238" s="2">
        <v>110.55</v>
      </c>
      <c r="C238" s="2">
        <v>110.55</v>
      </c>
      <c r="D238" s="2">
        <v>106.1</v>
      </c>
      <c r="E238" s="2">
        <v>106.83</v>
      </c>
      <c r="F238" s="2">
        <v>103.05</v>
      </c>
      <c r="G238" s="3">
        <v>20376500</v>
      </c>
    </row>
    <row r="239" spans="1:7" x14ac:dyDescent="0.3">
      <c r="A239" s="1">
        <v>45687</v>
      </c>
      <c r="B239" s="2">
        <v>109.24</v>
      </c>
      <c r="C239" s="2">
        <v>109.85</v>
      </c>
      <c r="D239" s="2">
        <v>108.7</v>
      </c>
      <c r="E239" s="2">
        <v>109.57</v>
      </c>
      <c r="F239" s="2">
        <v>105.69</v>
      </c>
      <c r="G239" s="3">
        <v>14346300</v>
      </c>
    </row>
    <row r="240" spans="1:7" x14ac:dyDescent="0.3">
      <c r="A240" s="1">
        <v>45686</v>
      </c>
      <c r="B240" s="2">
        <v>107.71</v>
      </c>
      <c r="C240" s="2">
        <v>108.78</v>
      </c>
      <c r="D240" s="2">
        <v>107.47</v>
      </c>
      <c r="E240" s="2">
        <v>108.67</v>
      </c>
      <c r="F240" s="2">
        <v>104.82</v>
      </c>
      <c r="G240" s="3">
        <v>12345500</v>
      </c>
    </row>
    <row r="241" spans="1:7" x14ac:dyDescent="0.3">
      <c r="A241" s="1">
        <v>45685</v>
      </c>
      <c r="B241" s="2">
        <v>110.41</v>
      </c>
      <c r="C241" s="2">
        <v>110.87</v>
      </c>
      <c r="D241" s="2">
        <v>107.79</v>
      </c>
      <c r="E241" s="2">
        <v>108.04</v>
      </c>
      <c r="F241" s="2">
        <v>104.22</v>
      </c>
      <c r="G241" s="3">
        <v>15862000</v>
      </c>
    </row>
    <row r="242" spans="1:7" x14ac:dyDescent="0.3">
      <c r="A242" s="1">
        <v>45684</v>
      </c>
      <c r="B242" s="2">
        <v>109.01</v>
      </c>
      <c r="C242" s="2">
        <v>110.45</v>
      </c>
      <c r="D242" s="2">
        <v>108.39</v>
      </c>
      <c r="E242" s="2">
        <v>110.17</v>
      </c>
      <c r="F242" s="2">
        <v>106.27</v>
      </c>
      <c r="G242" s="3">
        <v>15926700</v>
      </c>
    </row>
    <row r="243" spans="1:7" x14ac:dyDescent="0.3">
      <c r="A243" s="1">
        <v>45681</v>
      </c>
      <c r="B243" s="2">
        <v>110.24</v>
      </c>
      <c r="C243" s="2">
        <v>110.71</v>
      </c>
      <c r="D243" s="2">
        <v>108.41</v>
      </c>
      <c r="E243" s="2">
        <v>108.66</v>
      </c>
      <c r="F243" s="2">
        <v>104.81</v>
      </c>
      <c r="G243" s="3">
        <v>14235900</v>
      </c>
    </row>
    <row r="244" spans="1:7" x14ac:dyDescent="0.3">
      <c r="A244" s="1">
        <v>45680</v>
      </c>
      <c r="B244" s="2">
        <v>110.31</v>
      </c>
      <c r="C244" s="2">
        <v>111.14</v>
      </c>
      <c r="D244" s="2">
        <v>109.61</v>
      </c>
      <c r="E244" s="2">
        <v>110.15</v>
      </c>
      <c r="F244" s="2">
        <v>106.25</v>
      </c>
      <c r="G244" s="3">
        <v>13726800</v>
      </c>
    </row>
    <row r="245" spans="1:7" x14ac:dyDescent="0.3">
      <c r="A245" s="1">
        <v>45679</v>
      </c>
      <c r="B245" s="2">
        <v>111.2</v>
      </c>
      <c r="C245" s="2">
        <v>111.57</v>
      </c>
      <c r="D245" s="2">
        <v>109.4</v>
      </c>
      <c r="E245" s="2">
        <v>109.53</v>
      </c>
      <c r="F245" s="2">
        <v>105.65</v>
      </c>
      <c r="G245" s="3">
        <v>15718000</v>
      </c>
    </row>
    <row r="246" spans="1:7" x14ac:dyDescent="0.3">
      <c r="A246" s="1">
        <v>45678</v>
      </c>
      <c r="B246" s="2">
        <v>112.05</v>
      </c>
      <c r="C246" s="2">
        <v>112.18</v>
      </c>
      <c r="D246" s="2">
        <v>111.13</v>
      </c>
      <c r="E246" s="2">
        <v>111.47</v>
      </c>
      <c r="F246" s="2">
        <v>107.52</v>
      </c>
      <c r="G246" s="3">
        <v>20416300</v>
      </c>
    </row>
    <row r="247" spans="1:7" x14ac:dyDescent="0.3">
      <c r="A247" s="1">
        <v>45674</v>
      </c>
      <c r="B247" s="2">
        <v>111.03</v>
      </c>
      <c r="C247" s="2">
        <v>112.87</v>
      </c>
      <c r="D247" s="2">
        <v>110.82</v>
      </c>
      <c r="E247" s="2">
        <v>112.32</v>
      </c>
      <c r="F247" s="2">
        <v>108.34</v>
      </c>
      <c r="G247" s="3">
        <v>19298500</v>
      </c>
    </row>
    <row r="248" spans="1:7" x14ac:dyDescent="0.3">
      <c r="A248" s="1">
        <v>45673</v>
      </c>
      <c r="B248" s="2">
        <v>111.19</v>
      </c>
      <c r="C248" s="2">
        <v>111.69</v>
      </c>
      <c r="D248" s="2">
        <v>110.55</v>
      </c>
      <c r="E248" s="2">
        <v>111.32</v>
      </c>
      <c r="F248" s="2">
        <v>107.38</v>
      </c>
      <c r="G248" s="3">
        <v>10366000</v>
      </c>
    </row>
    <row r="249" spans="1:7" x14ac:dyDescent="0.3">
      <c r="A249" s="1">
        <v>45672</v>
      </c>
      <c r="B249" s="2">
        <v>110.05</v>
      </c>
      <c r="C249" s="2">
        <v>111.73</v>
      </c>
      <c r="D249" s="2">
        <v>109.47</v>
      </c>
      <c r="E249" s="2">
        <v>111.51</v>
      </c>
      <c r="F249" s="2">
        <v>107.56</v>
      </c>
      <c r="G249" s="3">
        <v>14521100</v>
      </c>
    </row>
    <row r="250" spans="1:7" x14ac:dyDescent="0.3">
      <c r="A250" s="1">
        <v>45671</v>
      </c>
      <c r="B250" s="2">
        <v>108.79</v>
      </c>
      <c r="C250" s="2">
        <v>109.76</v>
      </c>
      <c r="D250" s="2">
        <v>107.83</v>
      </c>
      <c r="E250" s="2">
        <v>109.72</v>
      </c>
      <c r="F250" s="2">
        <v>105.84</v>
      </c>
      <c r="G250" s="3">
        <v>11191200</v>
      </c>
    </row>
    <row r="251" spans="1:7" x14ac:dyDescent="0.3">
      <c r="A251" s="1">
        <v>45670</v>
      </c>
      <c r="B251" s="2">
        <v>107.13</v>
      </c>
      <c r="C251" s="2">
        <v>109.63</v>
      </c>
      <c r="D251" s="2">
        <v>107.13</v>
      </c>
      <c r="E251" s="2">
        <v>109.29</v>
      </c>
      <c r="F251" s="2">
        <v>105.42</v>
      </c>
      <c r="G251" s="3">
        <v>17073400</v>
      </c>
    </row>
    <row r="252" spans="1:7" x14ac:dyDescent="0.3">
      <c r="A252" s="1">
        <v>45667</v>
      </c>
      <c r="B252" s="2">
        <v>108.7</v>
      </c>
      <c r="C252" s="2">
        <v>110.1</v>
      </c>
      <c r="D252" s="2">
        <v>105.78</v>
      </c>
      <c r="E252" s="2">
        <v>106.54</v>
      </c>
      <c r="F252" s="2">
        <v>102.77</v>
      </c>
      <c r="G252" s="3">
        <v>19304500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52"/>
  <sheetViews>
    <sheetView workbookViewId="0">
      <selection activeCell="G244" sqref="G244"/>
    </sheetView>
  </sheetViews>
  <sheetFormatPr defaultRowHeight="14.4" x14ac:dyDescent="0.3"/>
  <cols>
    <col min="1" max="1" width="12.33203125" customWidth="1"/>
    <col min="6" max="6" width="11.5546875" customWidth="1"/>
    <col min="7" max="7" width="13.109375" customWidth="1"/>
  </cols>
  <sheetData>
    <row r="1" spans="1:7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7" x14ac:dyDescent="0.3">
      <c r="A2" s="1">
        <v>46031</v>
      </c>
      <c r="B2" s="2">
        <v>25.34</v>
      </c>
      <c r="C2" s="2">
        <v>25.55</v>
      </c>
      <c r="D2" s="2">
        <v>25.23</v>
      </c>
      <c r="E2" s="2">
        <v>25.48</v>
      </c>
      <c r="F2" s="2">
        <v>25.48</v>
      </c>
      <c r="G2" s="3">
        <v>34172400</v>
      </c>
    </row>
    <row r="3" spans="1:7" x14ac:dyDescent="0.3">
      <c r="A3" s="1">
        <v>46030</v>
      </c>
      <c r="B3" s="2">
        <v>25.18</v>
      </c>
      <c r="C3" s="2">
        <v>25.56</v>
      </c>
      <c r="D3" s="2">
        <v>25.12</v>
      </c>
      <c r="E3" s="2">
        <v>25.29</v>
      </c>
      <c r="F3" s="2">
        <v>25.29</v>
      </c>
      <c r="G3" s="3">
        <v>42977300</v>
      </c>
    </row>
    <row r="4" spans="1:7" x14ac:dyDescent="0.3">
      <c r="A4" s="1">
        <v>46029</v>
      </c>
      <c r="B4" s="2">
        <v>25.59</v>
      </c>
      <c r="C4" s="2">
        <v>25.81</v>
      </c>
      <c r="D4" s="2">
        <v>25.14</v>
      </c>
      <c r="E4" s="2">
        <v>25.28</v>
      </c>
      <c r="F4" s="2">
        <v>25.28</v>
      </c>
      <c r="G4" s="3">
        <v>51395800</v>
      </c>
    </row>
    <row r="5" spans="1:7" x14ac:dyDescent="0.3">
      <c r="A5" s="1">
        <v>46028</v>
      </c>
      <c r="B5" s="2">
        <v>25.19</v>
      </c>
      <c r="C5" s="2">
        <v>26.01</v>
      </c>
      <c r="D5" s="2">
        <v>25.19</v>
      </c>
      <c r="E5" s="2">
        <v>25.43</v>
      </c>
      <c r="F5" s="2">
        <v>25.43</v>
      </c>
      <c r="G5" s="3">
        <v>50977300</v>
      </c>
    </row>
    <row r="6" spans="1:7" x14ac:dyDescent="0.3">
      <c r="A6" s="1">
        <v>46027</v>
      </c>
      <c r="B6" s="2">
        <v>25.2</v>
      </c>
      <c r="C6" s="2">
        <v>25.4</v>
      </c>
      <c r="D6" s="2">
        <v>24.95</v>
      </c>
      <c r="E6" s="2">
        <v>25.17</v>
      </c>
      <c r="F6" s="2">
        <v>25.17</v>
      </c>
      <c r="G6" s="3">
        <v>52620900</v>
      </c>
    </row>
    <row r="7" spans="1:7" x14ac:dyDescent="0.3">
      <c r="A7" s="1">
        <v>46024</v>
      </c>
      <c r="B7" s="2">
        <v>24.98</v>
      </c>
      <c r="C7" s="2">
        <v>25.3</v>
      </c>
      <c r="D7" s="2">
        <v>24.83</v>
      </c>
      <c r="E7" s="2">
        <v>25.18</v>
      </c>
      <c r="F7" s="2">
        <v>25.18</v>
      </c>
      <c r="G7" s="3">
        <v>35976700</v>
      </c>
    </row>
    <row r="8" spans="1:7" x14ac:dyDescent="0.3">
      <c r="A8" s="1">
        <v>46022</v>
      </c>
      <c r="B8" s="2">
        <v>24.97</v>
      </c>
      <c r="C8" s="2">
        <v>25.02</v>
      </c>
      <c r="D8" s="2">
        <v>24.88</v>
      </c>
      <c r="E8" s="2">
        <v>24.9</v>
      </c>
      <c r="F8" s="2">
        <v>24.9</v>
      </c>
      <c r="G8" s="3">
        <v>29409200</v>
      </c>
    </row>
    <row r="9" spans="1:7" x14ac:dyDescent="0.3">
      <c r="A9" s="1">
        <v>46021</v>
      </c>
      <c r="B9" s="2">
        <v>25.01</v>
      </c>
      <c r="C9" s="2">
        <v>25.05</v>
      </c>
      <c r="D9" s="2">
        <v>24.92</v>
      </c>
      <c r="E9" s="2">
        <v>24.99</v>
      </c>
      <c r="F9" s="2">
        <v>24.99</v>
      </c>
      <c r="G9" s="3">
        <v>28821700</v>
      </c>
    </row>
    <row r="10" spans="1:7" x14ac:dyDescent="0.3">
      <c r="A10" s="1">
        <v>46020</v>
      </c>
      <c r="B10" s="2">
        <v>25.05</v>
      </c>
      <c r="C10" s="2">
        <v>25.2</v>
      </c>
      <c r="D10" s="2">
        <v>24.97</v>
      </c>
      <c r="E10" s="2">
        <v>25</v>
      </c>
      <c r="F10" s="2">
        <v>25</v>
      </c>
      <c r="G10" s="3">
        <v>33067700</v>
      </c>
    </row>
    <row r="11" spans="1:7" x14ac:dyDescent="0.3">
      <c r="A11" s="1">
        <v>46017</v>
      </c>
      <c r="B11" s="2">
        <v>25.02</v>
      </c>
      <c r="C11" s="2">
        <v>25.11</v>
      </c>
      <c r="D11" s="2">
        <v>24.92</v>
      </c>
      <c r="E11" s="2">
        <v>25.09</v>
      </c>
      <c r="F11" s="2">
        <v>25.09</v>
      </c>
      <c r="G11" s="3">
        <v>21617800</v>
      </c>
    </row>
    <row r="12" spans="1:7" x14ac:dyDescent="0.3">
      <c r="A12" s="1">
        <v>46015</v>
      </c>
      <c r="B12" s="2">
        <v>24.92</v>
      </c>
      <c r="C12" s="2">
        <v>25.14</v>
      </c>
      <c r="D12" s="2">
        <v>24.91</v>
      </c>
      <c r="E12" s="2">
        <v>25.03</v>
      </c>
      <c r="F12" s="2">
        <v>25.03</v>
      </c>
      <c r="G12" s="3">
        <v>19328500</v>
      </c>
    </row>
    <row r="13" spans="1:7" x14ac:dyDescent="0.3">
      <c r="A13" s="1">
        <v>46014</v>
      </c>
      <c r="B13" s="2">
        <v>25.26</v>
      </c>
      <c r="C13" s="2">
        <v>25.34</v>
      </c>
      <c r="D13" s="2">
        <v>24.83</v>
      </c>
      <c r="E13" s="2">
        <v>24.88</v>
      </c>
      <c r="F13" s="2">
        <v>24.88</v>
      </c>
      <c r="G13" s="3">
        <v>43692900</v>
      </c>
    </row>
    <row r="14" spans="1:7" x14ac:dyDescent="0.3">
      <c r="A14" s="1">
        <v>46013</v>
      </c>
      <c r="B14" s="2">
        <v>25.2</v>
      </c>
      <c r="C14" s="2">
        <v>25.4</v>
      </c>
      <c r="D14" s="2">
        <v>25.13</v>
      </c>
      <c r="E14" s="2">
        <v>25.21</v>
      </c>
      <c r="F14" s="2">
        <v>25.21</v>
      </c>
      <c r="G14" s="3">
        <v>38758900</v>
      </c>
    </row>
    <row r="15" spans="1:7" x14ac:dyDescent="0.3">
      <c r="A15" s="1">
        <v>46010</v>
      </c>
      <c r="B15" s="2">
        <v>25.01</v>
      </c>
      <c r="C15" s="2">
        <v>25.52</v>
      </c>
      <c r="D15" s="2">
        <v>24.98</v>
      </c>
      <c r="E15" s="2">
        <v>25.19</v>
      </c>
      <c r="F15" s="2">
        <v>25.19</v>
      </c>
      <c r="G15" s="3">
        <v>87590000</v>
      </c>
    </row>
    <row r="16" spans="1:7" x14ac:dyDescent="0.3">
      <c r="A16" s="1">
        <v>46009</v>
      </c>
      <c r="B16" s="2">
        <v>25.01</v>
      </c>
      <c r="C16" s="2">
        <v>25.23</v>
      </c>
      <c r="D16" s="2">
        <v>24.98</v>
      </c>
      <c r="E16" s="2">
        <v>25.04</v>
      </c>
      <c r="F16" s="2">
        <v>25.04</v>
      </c>
      <c r="G16" s="3">
        <v>47062500</v>
      </c>
    </row>
    <row r="17" spans="1:7" x14ac:dyDescent="0.3">
      <c r="A17" s="1">
        <v>46008</v>
      </c>
      <c r="B17" s="2">
        <v>25.4</v>
      </c>
      <c r="C17" s="2">
        <v>25.49</v>
      </c>
      <c r="D17" s="2">
        <v>25.03</v>
      </c>
      <c r="E17" s="2">
        <v>25.04</v>
      </c>
      <c r="F17" s="2">
        <v>25.04</v>
      </c>
      <c r="G17" s="3">
        <v>61255300</v>
      </c>
    </row>
    <row r="18" spans="1:7" x14ac:dyDescent="0.3">
      <c r="A18" s="1">
        <v>46007</v>
      </c>
      <c r="B18" s="2">
        <v>26.44</v>
      </c>
      <c r="C18" s="2">
        <v>26.51</v>
      </c>
      <c r="D18" s="2">
        <v>24.92</v>
      </c>
      <c r="E18" s="2">
        <v>25.53</v>
      </c>
      <c r="F18" s="2">
        <v>25.53</v>
      </c>
      <c r="G18" s="3">
        <v>111695500</v>
      </c>
    </row>
    <row r="19" spans="1:7" x14ac:dyDescent="0.3">
      <c r="A19" s="1">
        <v>46006</v>
      </c>
      <c r="B19" s="2">
        <v>25.82</v>
      </c>
      <c r="C19" s="2">
        <v>26.65</v>
      </c>
      <c r="D19" s="2">
        <v>25.81</v>
      </c>
      <c r="E19" s="2">
        <v>26.43</v>
      </c>
      <c r="F19" s="2">
        <v>26.43</v>
      </c>
      <c r="G19" s="3">
        <v>60360000</v>
      </c>
    </row>
    <row r="20" spans="1:7" x14ac:dyDescent="0.3">
      <c r="A20" s="1">
        <v>46003</v>
      </c>
      <c r="B20" s="2">
        <v>25.84</v>
      </c>
      <c r="C20" s="2">
        <v>26.04</v>
      </c>
      <c r="D20" s="2">
        <v>25.72</v>
      </c>
      <c r="E20" s="2">
        <v>25.85</v>
      </c>
      <c r="F20" s="2">
        <v>25.85</v>
      </c>
      <c r="G20" s="3">
        <v>51599700</v>
      </c>
    </row>
    <row r="21" spans="1:7" x14ac:dyDescent="0.3">
      <c r="A21" s="1">
        <v>46002</v>
      </c>
      <c r="B21" s="2">
        <v>25.8</v>
      </c>
      <c r="C21" s="2">
        <v>26.04</v>
      </c>
      <c r="D21" s="2">
        <v>25.61</v>
      </c>
      <c r="E21" s="2">
        <v>25.8</v>
      </c>
      <c r="F21" s="2">
        <v>25.8</v>
      </c>
      <c r="G21" s="3">
        <v>35570200</v>
      </c>
    </row>
    <row r="22" spans="1:7" x14ac:dyDescent="0.3">
      <c r="A22" s="1">
        <v>46001</v>
      </c>
      <c r="B22" s="2">
        <v>25.49</v>
      </c>
      <c r="C22" s="2">
        <v>25.79</v>
      </c>
      <c r="D22" s="2">
        <v>25.22</v>
      </c>
      <c r="E22" s="2">
        <v>25.78</v>
      </c>
      <c r="F22" s="2">
        <v>25.78</v>
      </c>
      <c r="G22" s="3">
        <v>43635400</v>
      </c>
    </row>
    <row r="23" spans="1:7" x14ac:dyDescent="0.3">
      <c r="A23" s="1">
        <v>46000</v>
      </c>
      <c r="B23" s="2">
        <v>26</v>
      </c>
      <c r="C23" s="2">
        <v>26.13</v>
      </c>
      <c r="D23" s="2">
        <v>25.13</v>
      </c>
      <c r="E23" s="2">
        <v>25.33</v>
      </c>
      <c r="F23" s="2">
        <v>25.33</v>
      </c>
      <c r="G23" s="3">
        <v>43483800</v>
      </c>
    </row>
    <row r="24" spans="1:7" x14ac:dyDescent="0.3">
      <c r="A24" s="1">
        <v>45999</v>
      </c>
      <c r="B24" s="2">
        <v>26.04</v>
      </c>
      <c r="C24" s="2">
        <v>26.19</v>
      </c>
      <c r="D24" s="2">
        <v>25.76</v>
      </c>
      <c r="E24" s="2">
        <v>25.77</v>
      </c>
      <c r="F24" s="2">
        <v>25.77</v>
      </c>
      <c r="G24" s="3">
        <v>45209300</v>
      </c>
    </row>
    <row r="25" spans="1:7" x14ac:dyDescent="0.3">
      <c r="A25" s="1">
        <v>45996</v>
      </c>
      <c r="B25" s="2">
        <v>25.77</v>
      </c>
      <c r="C25" s="2">
        <v>26.12</v>
      </c>
      <c r="D25" s="2">
        <v>25.64</v>
      </c>
      <c r="E25" s="2">
        <v>26.03</v>
      </c>
      <c r="F25" s="2">
        <v>26.03</v>
      </c>
      <c r="G25" s="3">
        <v>47443700</v>
      </c>
    </row>
    <row r="26" spans="1:7" x14ac:dyDescent="0.3">
      <c r="A26" s="1">
        <v>45995</v>
      </c>
      <c r="B26" s="2">
        <v>25.63</v>
      </c>
      <c r="C26" s="2">
        <v>25.74</v>
      </c>
      <c r="D26" s="2">
        <v>25.35</v>
      </c>
      <c r="E26" s="2">
        <v>25.7</v>
      </c>
      <c r="F26" s="2">
        <v>25.7</v>
      </c>
      <c r="G26" s="3">
        <v>35454000</v>
      </c>
    </row>
    <row r="27" spans="1:7" x14ac:dyDescent="0.3">
      <c r="A27" s="1">
        <v>45994</v>
      </c>
      <c r="B27" s="2">
        <v>25.32</v>
      </c>
      <c r="C27" s="2">
        <v>25.89</v>
      </c>
      <c r="D27" s="2">
        <v>25.3</v>
      </c>
      <c r="E27" s="2">
        <v>25.57</v>
      </c>
      <c r="F27" s="2">
        <v>25.57</v>
      </c>
      <c r="G27" s="3">
        <v>56121200</v>
      </c>
    </row>
    <row r="28" spans="1:7" x14ac:dyDescent="0.3">
      <c r="A28" s="1">
        <v>45993</v>
      </c>
      <c r="B28" s="2">
        <v>25.32</v>
      </c>
      <c r="C28" s="2">
        <v>25.32</v>
      </c>
      <c r="D28" s="2">
        <v>25.04</v>
      </c>
      <c r="E28" s="2">
        <v>25.15</v>
      </c>
      <c r="F28" s="2">
        <v>25.15</v>
      </c>
      <c r="G28" s="3">
        <v>43827000</v>
      </c>
    </row>
    <row r="29" spans="1:7" x14ac:dyDescent="0.3">
      <c r="A29" s="1">
        <v>45992</v>
      </c>
      <c r="B29" s="2">
        <v>25.76</v>
      </c>
      <c r="C29" s="2">
        <v>25.94</v>
      </c>
      <c r="D29" s="2">
        <v>25.23</v>
      </c>
      <c r="E29" s="2">
        <v>25.27</v>
      </c>
      <c r="F29" s="2">
        <v>25.27</v>
      </c>
      <c r="G29" s="3">
        <v>53198600</v>
      </c>
    </row>
    <row r="30" spans="1:7" x14ac:dyDescent="0.3">
      <c r="A30" s="1">
        <v>45989</v>
      </c>
      <c r="B30" s="2">
        <v>25.85</v>
      </c>
      <c r="C30" s="2">
        <v>25.86</v>
      </c>
      <c r="D30" s="2">
        <v>25.66</v>
      </c>
      <c r="E30" s="2">
        <v>25.74</v>
      </c>
      <c r="F30" s="2">
        <v>25.74</v>
      </c>
      <c r="G30" s="3">
        <v>22627600</v>
      </c>
    </row>
    <row r="31" spans="1:7" x14ac:dyDescent="0.3">
      <c r="A31" s="1">
        <v>45987</v>
      </c>
      <c r="B31" s="2">
        <v>25.7</v>
      </c>
      <c r="C31" s="2">
        <v>25.81</v>
      </c>
      <c r="D31" s="2">
        <v>25.58</v>
      </c>
      <c r="E31" s="2">
        <v>25.71</v>
      </c>
      <c r="F31" s="2">
        <v>25.71</v>
      </c>
      <c r="G31" s="3">
        <v>33461000</v>
      </c>
    </row>
    <row r="32" spans="1:7" x14ac:dyDescent="0.3">
      <c r="A32" s="1">
        <v>45986</v>
      </c>
      <c r="B32" s="2">
        <v>25.37</v>
      </c>
      <c r="C32" s="2">
        <v>25.97</v>
      </c>
      <c r="D32" s="2">
        <v>25.36</v>
      </c>
      <c r="E32" s="2">
        <v>25.72</v>
      </c>
      <c r="F32" s="2">
        <v>25.72</v>
      </c>
      <c r="G32" s="3">
        <v>39130300</v>
      </c>
    </row>
    <row r="33" spans="1:7" x14ac:dyDescent="0.3">
      <c r="A33" s="1">
        <v>45985</v>
      </c>
      <c r="B33" s="2">
        <v>25.11</v>
      </c>
      <c r="C33" s="2">
        <v>25.47</v>
      </c>
      <c r="D33" s="2">
        <v>25.05</v>
      </c>
      <c r="E33" s="2">
        <v>25.22</v>
      </c>
      <c r="F33" s="2">
        <v>25.22</v>
      </c>
      <c r="G33" s="3">
        <v>63074900</v>
      </c>
    </row>
    <row r="34" spans="1:7" x14ac:dyDescent="0.3">
      <c r="A34" s="1">
        <v>45982</v>
      </c>
      <c r="B34" s="2">
        <v>24.59</v>
      </c>
      <c r="C34" s="2">
        <v>25.52</v>
      </c>
      <c r="D34" s="2">
        <v>24.59</v>
      </c>
      <c r="E34" s="2">
        <v>25.04</v>
      </c>
      <c r="F34" s="2">
        <v>25.04</v>
      </c>
      <c r="G34" s="3">
        <v>73079400</v>
      </c>
    </row>
    <row r="35" spans="1:7" x14ac:dyDescent="0.3">
      <c r="A35" s="1">
        <v>45981</v>
      </c>
      <c r="B35" s="2">
        <v>24.89</v>
      </c>
      <c r="C35" s="2">
        <v>25</v>
      </c>
      <c r="D35" s="2">
        <v>24.28</v>
      </c>
      <c r="E35" s="2">
        <v>24.4</v>
      </c>
      <c r="F35" s="2">
        <v>24.4</v>
      </c>
      <c r="G35" s="3">
        <v>51983200</v>
      </c>
    </row>
    <row r="36" spans="1:7" x14ac:dyDescent="0.3">
      <c r="A36" s="1">
        <v>45980</v>
      </c>
      <c r="B36" s="2">
        <v>25.35</v>
      </c>
      <c r="C36" s="2">
        <v>25.5</v>
      </c>
      <c r="D36" s="2">
        <v>24.72</v>
      </c>
      <c r="E36" s="2">
        <v>24.88</v>
      </c>
      <c r="F36" s="2">
        <v>24.88</v>
      </c>
      <c r="G36" s="3">
        <v>62000200</v>
      </c>
    </row>
    <row r="37" spans="1:7" x14ac:dyDescent="0.3">
      <c r="A37" s="1">
        <v>45979</v>
      </c>
      <c r="B37" s="2">
        <v>25.05</v>
      </c>
      <c r="C37" s="2">
        <v>25.51</v>
      </c>
      <c r="D37" s="2">
        <v>24.98</v>
      </c>
      <c r="E37" s="2">
        <v>25.45</v>
      </c>
      <c r="F37" s="2">
        <v>25.45</v>
      </c>
      <c r="G37" s="3">
        <v>66511800</v>
      </c>
    </row>
    <row r="38" spans="1:7" x14ac:dyDescent="0.3">
      <c r="A38" s="1">
        <v>45978</v>
      </c>
      <c r="B38" s="2">
        <v>25.11</v>
      </c>
      <c r="C38" s="2">
        <v>25.57</v>
      </c>
      <c r="D38" s="2">
        <v>24.95</v>
      </c>
      <c r="E38" s="2">
        <v>25.08</v>
      </c>
      <c r="F38" s="2">
        <v>25.08</v>
      </c>
      <c r="G38" s="3">
        <v>88042200</v>
      </c>
    </row>
    <row r="39" spans="1:7" x14ac:dyDescent="0.3">
      <c r="A39" s="1">
        <v>45975</v>
      </c>
      <c r="B39" s="2">
        <v>25.67</v>
      </c>
      <c r="C39" s="2">
        <v>25.77</v>
      </c>
      <c r="D39" s="2">
        <v>24.97</v>
      </c>
      <c r="E39" s="2">
        <v>25.06</v>
      </c>
      <c r="F39" s="2">
        <v>25.06</v>
      </c>
      <c r="G39" s="3">
        <v>96507600</v>
      </c>
    </row>
    <row r="40" spans="1:7" x14ac:dyDescent="0.3">
      <c r="A40" s="1">
        <v>45974</v>
      </c>
      <c r="B40" s="2">
        <v>25.94</v>
      </c>
      <c r="C40" s="2">
        <v>26.48</v>
      </c>
      <c r="D40" s="2">
        <v>25.67</v>
      </c>
      <c r="E40" s="2">
        <v>25.79</v>
      </c>
      <c r="F40" s="2">
        <v>25.79</v>
      </c>
      <c r="G40" s="3">
        <v>123083100</v>
      </c>
    </row>
    <row r="41" spans="1:7" x14ac:dyDescent="0.3">
      <c r="A41" s="1">
        <v>45973</v>
      </c>
      <c r="B41" s="2">
        <v>25.4</v>
      </c>
      <c r="C41" s="2">
        <v>25.95</v>
      </c>
      <c r="D41" s="2">
        <v>25.25</v>
      </c>
      <c r="E41" s="2">
        <v>25.87</v>
      </c>
      <c r="F41" s="2">
        <v>25.87</v>
      </c>
      <c r="G41" s="3">
        <v>96008000</v>
      </c>
    </row>
    <row r="42" spans="1:7" x14ac:dyDescent="0.3">
      <c r="A42" s="1">
        <v>45972</v>
      </c>
      <c r="B42" s="2">
        <v>24.49</v>
      </c>
      <c r="C42" s="2">
        <v>25.51</v>
      </c>
      <c r="D42" s="2">
        <v>24.44</v>
      </c>
      <c r="E42" s="2">
        <v>25.51</v>
      </c>
      <c r="F42" s="2">
        <v>25.51</v>
      </c>
      <c r="G42" s="3">
        <v>139673800</v>
      </c>
    </row>
    <row r="43" spans="1:7" x14ac:dyDescent="0.3">
      <c r="A43" s="1">
        <v>45971</v>
      </c>
      <c r="B43" s="2">
        <v>24.66</v>
      </c>
      <c r="C43" s="2">
        <v>24.89</v>
      </c>
      <c r="D43" s="2">
        <v>23.91</v>
      </c>
      <c r="E43" s="2">
        <v>24.39</v>
      </c>
      <c r="F43" s="2">
        <v>24.39</v>
      </c>
      <c r="G43" s="3">
        <v>148958600</v>
      </c>
    </row>
    <row r="44" spans="1:7" x14ac:dyDescent="0.3">
      <c r="A44" s="1">
        <v>45968</v>
      </c>
      <c r="B44" s="2">
        <v>24.33</v>
      </c>
      <c r="C44" s="2">
        <v>24.63</v>
      </c>
      <c r="D44" s="2">
        <v>24.11</v>
      </c>
      <c r="E44" s="2">
        <v>24.43</v>
      </c>
      <c r="F44" s="2">
        <v>24.43</v>
      </c>
      <c r="G44" s="3">
        <v>117794500</v>
      </c>
    </row>
    <row r="45" spans="1:7" x14ac:dyDescent="0.3">
      <c r="A45" s="1">
        <v>45967</v>
      </c>
      <c r="B45" s="2">
        <v>24.75</v>
      </c>
      <c r="C45" s="2">
        <v>25.13</v>
      </c>
      <c r="D45" s="2">
        <v>24.54</v>
      </c>
      <c r="E45" s="2">
        <v>24.85</v>
      </c>
      <c r="F45" s="2">
        <v>24.42</v>
      </c>
      <c r="G45" s="3">
        <v>124137200</v>
      </c>
    </row>
    <row r="46" spans="1:7" x14ac:dyDescent="0.3">
      <c r="A46" s="1">
        <v>45966</v>
      </c>
      <c r="B46" s="2">
        <v>24.38</v>
      </c>
      <c r="C46" s="2">
        <v>24.67</v>
      </c>
      <c r="D46" s="2">
        <v>24.16</v>
      </c>
      <c r="E46" s="2">
        <v>24.61</v>
      </c>
      <c r="F46" s="2">
        <v>24.18</v>
      </c>
      <c r="G46" s="3">
        <v>107240900</v>
      </c>
    </row>
    <row r="47" spans="1:7" x14ac:dyDescent="0.3">
      <c r="A47" s="1">
        <v>45965</v>
      </c>
      <c r="B47" s="2">
        <v>24.39</v>
      </c>
      <c r="C47" s="2">
        <v>25.2</v>
      </c>
      <c r="D47" s="2">
        <v>24.2</v>
      </c>
      <c r="E47" s="2">
        <v>24.3</v>
      </c>
      <c r="F47" s="2">
        <v>23.88</v>
      </c>
      <c r="G47" s="3">
        <v>166162000</v>
      </c>
    </row>
    <row r="48" spans="1:7" x14ac:dyDescent="0.3">
      <c r="A48" s="1">
        <v>45964</v>
      </c>
      <c r="B48" s="2">
        <v>24.59</v>
      </c>
      <c r="C48" s="2">
        <v>24.75</v>
      </c>
      <c r="D48" s="2">
        <v>24.41</v>
      </c>
      <c r="E48" s="2">
        <v>24.66</v>
      </c>
      <c r="F48" s="2">
        <v>24.23</v>
      </c>
      <c r="G48" s="3">
        <v>140871300</v>
      </c>
    </row>
    <row r="49" spans="1:7" x14ac:dyDescent="0.3">
      <c r="A49" s="1">
        <v>45961</v>
      </c>
      <c r="B49" s="2">
        <v>24.28</v>
      </c>
      <c r="C49" s="2">
        <v>24.73</v>
      </c>
      <c r="D49" s="2">
        <v>24.16</v>
      </c>
      <c r="E49" s="2">
        <v>24.65</v>
      </c>
      <c r="F49" s="2">
        <v>24.22</v>
      </c>
      <c r="G49" s="3">
        <v>132697400</v>
      </c>
    </row>
    <row r="50" spans="1:7" x14ac:dyDescent="0.3">
      <c r="A50" s="1">
        <v>45960</v>
      </c>
      <c r="B50" s="2">
        <v>24.31</v>
      </c>
      <c r="C50" s="2">
        <v>24.7</v>
      </c>
      <c r="D50" s="2">
        <v>24.15</v>
      </c>
      <c r="E50" s="2">
        <v>24.29</v>
      </c>
      <c r="F50" s="2">
        <v>23.87</v>
      </c>
      <c r="G50" s="3">
        <v>157478000</v>
      </c>
    </row>
    <row r="51" spans="1:7" x14ac:dyDescent="0.3">
      <c r="A51" s="1">
        <v>45959</v>
      </c>
      <c r="B51" s="2">
        <v>24.53</v>
      </c>
      <c r="C51" s="2">
        <v>24.63</v>
      </c>
      <c r="D51" s="2">
        <v>24.23</v>
      </c>
      <c r="E51" s="2">
        <v>24.29</v>
      </c>
      <c r="F51" s="2">
        <v>23.87</v>
      </c>
      <c r="G51" s="3">
        <v>65438400</v>
      </c>
    </row>
    <row r="52" spans="1:7" x14ac:dyDescent="0.3">
      <c r="A52" s="1">
        <v>45958</v>
      </c>
      <c r="B52" s="2">
        <v>24.78</v>
      </c>
      <c r="C52" s="2">
        <v>24.78</v>
      </c>
      <c r="D52" s="2">
        <v>24.38</v>
      </c>
      <c r="E52" s="2">
        <v>24.5</v>
      </c>
      <c r="F52" s="2">
        <v>24.08</v>
      </c>
      <c r="G52" s="3">
        <v>50152400</v>
      </c>
    </row>
    <row r="53" spans="1:7" x14ac:dyDescent="0.3">
      <c r="A53" s="1">
        <v>45957</v>
      </c>
      <c r="B53" s="2">
        <v>24.74</v>
      </c>
      <c r="C53" s="2">
        <v>24.8</v>
      </c>
      <c r="D53" s="2">
        <v>24.63</v>
      </c>
      <c r="E53" s="2">
        <v>24.77</v>
      </c>
      <c r="F53" s="2">
        <v>24.34</v>
      </c>
      <c r="G53" s="3">
        <v>34974900</v>
      </c>
    </row>
    <row r="54" spans="1:7" x14ac:dyDescent="0.3">
      <c r="A54" s="1">
        <v>45954</v>
      </c>
      <c r="B54" s="2">
        <v>24.7</v>
      </c>
      <c r="C54" s="2">
        <v>24.83</v>
      </c>
      <c r="D54" s="2">
        <v>24.68</v>
      </c>
      <c r="E54" s="2">
        <v>24.76</v>
      </c>
      <c r="F54" s="2">
        <v>24.33</v>
      </c>
      <c r="G54" s="3">
        <v>27429200</v>
      </c>
    </row>
    <row r="55" spans="1:7" x14ac:dyDescent="0.3">
      <c r="A55" s="1">
        <v>45953</v>
      </c>
      <c r="B55" s="2">
        <v>24.76</v>
      </c>
      <c r="C55" s="2">
        <v>24.78</v>
      </c>
      <c r="D55" s="2">
        <v>24.51</v>
      </c>
      <c r="E55" s="2">
        <v>24.67</v>
      </c>
      <c r="F55" s="2">
        <v>24.24</v>
      </c>
      <c r="G55" s="3">
        <v>34219900</v>
      </c>
    </row>
    <row r="56" spans="1:7" x14ac:dyDescent="0.3">
      <c r="A56" s="1">
        <v>45952</v>
      </c>
      <c r="B56" s="2">
        <v>24.79</v>
      </c>
      <c r="C56" s="2">
        <v>24.93</v>
      </c>
      <c r="D56" s="2">
        <v>24.62</v>
      </c>
      <c r="E56" s="2">
        <v>24.72</v>
      </c>
      <c r="F56" s="2">
        <v>24.29</v>
      </c>
      <c r="G56" s="3">
        <v>48662900</v>
      </c>
    </row>
    <row r="57" spans="1:7" x14ac:dyDescent="0.3">
      <c r="A57" s="1">
        <v>45951</v>
      </c>
      <c r="B57" s="2">
        <v>24.72</v>
      </c>
      <c r="C57" s="2">
        <v>24.96</v>
      </c>
      <c r="D57" s="2">
        <v>24.6</v>
      </c>
      <c r="E57" s="2">
        <v>24.85</v>
      </c>
      <c r="F57" s="2">
        <v>24.42</v>
      </c>
      <c r="G57" s="3">
        <v>40726900</v>
      </c>
    </row>
    <row r="58" spans="1:7" x14ac:dyDescent="0.3">
      <c r="A58" s="1">
        <v>45950</v>
      </c>
      <c r="B58" s="2">
        <v>24.57</v>
      </c>
      <c r="C58" s="2">
        <v>24.73</v>
      </c>
      <c r="D58" s="2">
        <v>24.51</v>
      </c>
      <c r="E58" s="2">
        <v>24.69</v>
      </c>
      <c r="F58" s="2">
        <v>24.26</v>
      </c>
      <c r="G58" s="3">
        <v>35856800</v>
      </c>
    </row>
    <row r="59" spans="1:7" x14ac:dyDescent="0.3">
      <c r="A59" s="1">
        <v>45947</v>
      </c>
      <c r="B59" s="2">
        <v>24.2</v>
      </c>
      <c r="C59" s="2">
        <v>24.53</v>
      </c>
      <c r="D59" s="2">
        <v>24.16</v>
      </c>
      <c r="E59" s="2">
        <v>24.51</v>
      </c>
      <c r="F59" s="2">
        <v>24.09</v>
      </c>
      <c r="G59" s="3">
        <v>40101900</v>
      </c>
    </row>
    <row r="60" spans="1:7" x14ac:dyDescent="0.3">
      <c r="A60" s="1">
        <v>45946</v>
      </c>
      <c r="B60" s="2">
        <v>24.44</v>
      </c>
      <c r="C60" s="2">
        <v>24.61</v>
      </c>
      <c r="D60" s="2">
        <v>24.21</v>
      </c>
      <c r="E60" s="2">
        <v>24.23</v>
      </c>
      <c r="F60" s="2">
        <v>23.81</v>
      </c>
      <c r="G60" s="3">
        <v>44390000</v>
      </c>
    </row>
    <row r="61" spans="1:7" x14ac:dyDescent="0.3">
      <c r="A61" s="1">
        <v>45945</v>
      </c>
      <c r="B61" s="2">
        <v>24.49</v>
      </c>
      <c r="C61" s="2">
        <v>24.58</v>
      </c>
      <c r="D61" s="2">
        <v>24.21</v>
      </c>
      <c r="E61" s="2">
        <v>24.39</v>
      </c>
      <c r="F61" s="2">
        <v>23.97</v>
      </c>
      <c r="G61" s="3">
        <v>47729800</v>
      </c>
    </row>
    <row r="62" spans="1:7" x14ac:dyDescent="0.3">
      <c r="A62" s="1">
        <v>45944</v>
      </c>
      <c r="B62" s="2">
        <v>24.65</v>
      </c>
      <c r="C62" s="2">
        <v>24.79</v>
      </c>
      <c r="D62" s="2">
        <v>24.48</v>
      </c>
      <c r="E62" s="2">
        <v>24.52</v>
      </c>
      <c r="F62" s="2">
        <v>24.1</v>
      </c>
      <c r="G62" s="3">
        <v>42277000</v>
      </c>
    </row>
    <row r="63" spans="1:7" x14ac:dyDescent="0.3">
      <c r="A63" s="1">
        <v>45943</v>
      </c>
      <c r="B63" s="2">
        <v>24.84</v>
      </c>
      <c r="C63" s="2">
        <v>24.95</v>
      </c>
      <c r="D63" s="2">
        <v>24.61</v>
      </c>
      <c r="E63" s="2">
        <v>24.73</v>
      </c>
      <c r="F63" s="2">
        <v>24.3</v>
      </c>
      <c r="G63" s="3">
        <v>45356600</v>
      </c>
    </row>
    <row r="64" spans="1:7" x14ac:dyDescent="0.3">
      <c r="A64" s="1">
        <v>45940</v>
      </c>
      <c r="B64" s="2">
        <v>25.26</v>
      </c>
      <c r="C64" s="2">
        <v>25.42</v>
      </c>
      <c r="D64" s="2">
        <v>24.62</v>
      </c>
      <c r="E64" s="2">
        <v>24.78</v>
      </c>
      <c r="F64" s="2">
        <v>24.35</v>
      </c>
      <c r="G64" s="3">
        <v>64963900</v>
      </c>
    </row>
    <row r="65" spans="1:7" x14ac:dyDescent="0.3">
      <c r="A65" s="1">
        <v>45939</v>
      </c>
      <c r="B65" s="2">
        <v>25.78</v>
      </c>
      <c r="C65" s="2">
        <v>25.9</v>
      </c>
      <c r="D65" s="2">
        <v>25.21</v>
      </c>
      <c r="E65" s="2">
        <v>25.24</v>
      </c>
      <c r="F65" s="2">
        <v>24.8</v>
      </c>
      <c r="G65" s="3">
        <v>47278700</v>
      </c>
    </row>
    <row r="66" spans="1:7" x14ac:dyDescent="0.3">
      <c r="A66" s="1">
        <v>45938</v>
      </c>
      <c r="B66" s="2">
        <v>26.42</v>
      </c>
      <c r="C66" s="2">
        <v>26.5</v>
      </c>
      <c r="D66" s="2">
        <v>25.63</v>
      </c>
      <c r="E66" s="2">
        <v>25.68</v>
      </c>
      <c r="F66" s="2">
        <v>25.24</v>
      </c>
      <c r="G66" s="3">
        <v>48693300</v>
      </c>
    </row>
    <row r="67" spans="1:7" x14ac:dyDescent="0.3">
      <c r="A67" s="1">
        <v>45937</v>
      </c>
      <c r="B67" s="2">
        <v>26.42</v>
      </c>
      <c r="C67" s="2">
        <v>26.58</v>
      </c>
      <c r="D67" s="2">
        <v>26.05</v>
      </c>
      <c r="E67" s="2">
        <v>26.27</v>
      </c>
      <c r="F67" s="2">
        <v>25.82</v>
      </c>
      <c r="G67" s="3">
        <v>47744200</v>
      </c>
    </row>
    <row r="68" spans="1:7" x14ac:dyDescent="0.3">
      <c r="A68" s="1">
        <v>45936</v>
      </c>
      <c r="B68" s="2">
        <v>27.27</v>
      </c>
      <c r="C68" s="2">
        <v>27.36</v>
      </c>
      <c r="D68" s="2">
        <v>26.39</v>
      </c>
      <c r="E68" s="2">
        <v>26.43</v>
      </c>
      <c r="F68" s="2">
        <v>25.97</v>
      </c>
      <c r="G68" s="3">
        <v>62945600</v>
      </c>
    </row>
    <row r="69" spans="1:7" x14ac:dyDescent="0.3">
      <c r="A69" s="1">
        <v>45933</v>
      </c>
      <c r="B69" s="2">
        <v>27.2</v>
      </c>
      <c r="C69" s="2">
        <v>27.69</v>
      </c>
      <c r="D69" s="2">
        <v>27.04</v>
      </c>
      <c r="E69" s="2">
        <v>27.37</v>
      </c>
      <c r="F69" s="2">
        <v>26.9</v>
      </c>
      <c r="G69" s="3">
        <v>70524000</v>
      </c>
    </row>
    <row r="70" spans="1:7" x14ac:dyDescent="0.3">
      <c r="A70" s="1">
        <v>45932</v>
      </c>
      <c r="B70" s="2">
        <v>26.93</v>
      </c>
      <c r="C70" s="2">
        <v>27.17</v>
      </c>
      <c r="D70" s="2">
        <v>26.62</v>
      </c>
      <c r="E70" s="2">
        <v>27.08</v>
      </c>
      <c r="F70" s="2">
        <v>26.61</v>
      </c>
      <c r="G70" s="3">
        <v>69684100</v>
      </c>
    </row>
    <row r="71" spans="1:7" x14ac:dyDescent="0.3">
      <c r="A71" s="1">
        <v>45931</v>
      </c>
      <c r="B71" s="2">
        <v>25.97</v>
      </c>
      <c r="C71" s="2">
        <v>27.45</v>
      </c>
      <c r="D71" s="2">
        <v>25.58</v>
      </c>
      <c r="E71" s="2">
        <v>27.21</v>
      </c>
      <c r="F71" s="2">
        <v>26.74</v>
      </c>
      <c r="G71" s="3">
        <v>150879900</v>
      </c>
    </row>
    <row r="72" spans="1:7" x14ac:dyDescent="0.3">
      <c r="A72" s="1">
        <v>45930</v>
      </c>
      <c r="B72" s="2">
        <v>23.85</v>
      </c>
      <c r="C72" s="2">
        <v>25.63</v>
      </c>
      <c r="D72" s="2">
        <v>23.81</v>
      </c>
      <c r="E72" s="2">
        <v>25.48</v>
      </c>
      <c r="F72" s="2">
        <v>25.04</v>
      </c>
      <c r="G72" s="3">
        <v>164867300</v>
      </c>
    </row>
    <row r="73" spans="1:7" x14ac:dyDescent="0.3">
      <c r="A73" s="1">
        <v>45929</v>
      </c>
      <c r="B73" s="2">
        <v>23.79</v>
      </c>
      <c r="C73" s="2">
        <v>23.86</v>
      </c>
      <c r="D73" s="2">
        <v>23.64</v>
      </c>
      <c r="E73" s="2">
        <v>23.85</v>
      </c>
      <c r="F73" s="2">
        <v>23.44</v>
      </c>
      <c r="G73" s="3">
        <v>39184300</v>
      </c>
    </row>
    <row r="74" spans="1:7" x14ac:dyDescent="0.3">
      <c r="A74" s="1">
        <v>45926</v>
      </c>
      <c r="B74" s="2">
        <v>23.73</v>
      </c>
      <c r="C74" s="2">
        <v>23.81</v>
      </c>
      <c r="D74" s="2">
        <v>23.61</v>
      </c>
      <c r="E74" s="2">
        <v>23.76</v>
      </c>
      <c r="F74" s="2">
        <v>23.35</v>
      </c>
      <c r="G74" s="3">
        <v>33374500</v>
      </c>
    </row>
    <row r="75" spans="1:7" x14ac:dyDescent="0.3">
      <c r="A75" s="1">
        <v>45925</v>
      </c>
      <c r="B75" s="2">
        <v>24.09</v>
      </c>
      <c r="C75" s="2">
        <v>24.15</v>
      </c>
      <c r="D75" s="2">
        <v>23.58</v>
      </c>
      <c r="E75" s="2">
        <v>23.6</v>
      </c>
      <c r="F75" s="2">
        <v>23.19</v>
      </c>
      <c r="G75" s="3">
        <v>56738300</v>
      </c>
    </row>
    <row r="76" spans="1:7" x14ac:dyDescent="0.3">
      <c r="A76" s="1">
        <v>45924</v>
      </c>
      <c r="B76" s="2">
        <v>24.17</v>
      </c>
      <c r="C76" s="2">
        <v>24.18</v>
      </c>
      <c r="D76" s="2">
        <v>23.98</v>
      </c>
      <c r="E76" s="2">
        <v>24.09</v>
      </c>
      <c r="F76" s="2">
        <v>23.67</v>
      </c>
      <c r="G76" s="3">
        <v>39669400</v>
      </c>
    </row>
    <row r="77" spans="1:7" x14ac:dyDescent="0.3">
      <c r="A77" s="1">
        <v>45923</v>
      </c>
      <c r="B77" s="2">
        <v>24.1</v>
      </c>
      <c r="C77" s="2">
        <v>24.36</v>
      </c>
      <c r="D77" s="2">
        <v>24.05</v>
      </c>
      <c r="E77" s="2">
        <v>24.13</v>
      </c>
      <c r="F77" s="2">
        <v>23.71</v>
      </c>
      <c r="G77" s="3">
        <v>38955200</v>
      </c>
    </row>
    <row r="78" spans="1:7" x14ac:dyDescent="0.3">
      <c r="A78" s="1">
        <v>45922</v>
      </c>
      <c r="B78" s="2">
        <v>24.28</v>
      </c>
      <c r="C78" s="2">
        <v>24.8</v>
      </c>
      <c r="D78" s="2">
        <v>24.03</v>
      </c>
      <c r="E78" s="2">
        <v>24.04</v>
      </c>
      <c r="F78" s="2">
        <v>23.62</v>
      </c>
      <c r="G78" s="3">
        <v>67863300</v>
      </c>
    </row>
    <row r="79" spans="1:7" x14ac:dyDescent="0.3">
      <c r="A79" s="1">
        <v>45919</v>
      </c>
      <c r="B79" s="2">
        <v>24.25</v>
      </c>
      <c r="C79" s="2">
        <v>24.25</v>
      </c>
      <c r="D79" s="2">
        <v>23.82</v>
      </c>
      <c r="E79" s="2">
        <v>24.03</v>
      </c>
      <c r="F79" s="2">
        <v>23.61</v>
      </c>
      <c r="G79" s="3">
        <v>86577600</v>
      </c>
    </row>
    <row r="80" spans="1:7" x14ac:dyDescent="0.3">
      <c r="A80" s="1">
        <v>45918</v>
      </c>
      <c r="B80" s="2">
        <v>24.05</v>
      </c>
      <c r="C80" s="2">
        <v>24.24</v>
      </c>
      <c r="D80" s="2">
        <v>23.96</v>
      </c>
      <c r="E80" s="2">
        <v>24.15</v>
      </c>
      <c r="F80" s="2">
        <v>23.73</v>
      </c>
      <c r="G80" s="3">
        <v>34419000</v>
      </c>
    </row>
    <row r="81" spans="1:7" x14ac:dyDescent="0.3">
      <c r="A81" s="1">
        <v>45917</v>
      </c>
      <c r="B81" s="2">
        <v>23.98</v>
      </c>
      <c r="C81" s="2">
        <v>24.39</v>
      </c>
      <c r="D81" s="2">
        <v>23.9</v>
      </c>
      <c r="E81" s="2">
        <v>24.05</v>
      </c>
      <c r="F81" s="2">
        <v>23.63</v>
      </c>
      <c r="G81" s="3">
        <v>46351600</v>
      </c>
    </row>
    <row r="82" spans="1:7" x14ac:dyDescent="0.3">
      <c r="A82" s="1">
        <v>45916</v>
      </c>
      <c r="B82" s="2">
        <v>23.96</v>
      </c>
      <c r="C82" s="2">
        <v>24.22</v>
      </c>
      <c r="D82" s="2">
        <v>23.87</v>
      </c>
      <c r="E82" s="2">
        <v>23.9</v>
      </c>
      <c r="F82" s="2">
        <v>23.49</v>
      </c>
      <c r="G82" s="3">
        <v>57010800</v>
      </c>
    </row>
    <row r="83" spans="1:7" x14ac:dyDescent="0.3">
      <c r="A83" s="1">
        <v>45915</v>
      </c>
      <c r="B83" s="2">
        <v>23.99</v>
      </c>
      <c r="C83" s="2">
        <v>24.12</v>
      </c>
      <c r="D83" s="2">
        <v>23.68</v>
      </c>
      <c r="E83" s="2">
        <v>23.97</v>
      </c>
      <c r="F83" s="2">
        <v>23.56</v>
      </c>
      <c r="G83" s="3">
        <v>50760200</v>
      </c>
    </row>
    <row r="84" spans="1:7" x14ac:dyDescent="0.3">
      <c r="A84" s="1">
        <v>45912</v>
      </c>
      <c r="B84" s="2">
        <v>24.81</v>
      </c>
      <c r="C84" s="2">
        <v>24.84</v>
      </c>
      <c r="D84" s="2">
        <v>23.84</v>
      </c>
      <c r="E84" s="2">
        <v>23.87</v>
      </c>
      <c r="F84" s="2">
        <v>23.46</v>
      </c>
      <c r="G84" s="3">
        <v>81378200</v>
      </c>
    </row>
    <row r="85" spans="1:7" x14ac:dyDescent="0.3">
      <c r="A85" s="1">
        <v>45911</v>
      </c>
      <c r="B85" s="2">
        <v>24.6</v>
      </c>
      <c r="C85" s="2">
        <v>24.86</v>
      </c>
      <c r="D85" s="2">
        <v>24.54</v>
      </c>
      <c r="E85" s="2">
        <v>24.86</v>
      </c>
      <c r="F85" s="2">
        <v>24.43</v>
      </c>
      <c r="G85" s="3">
        <v>36784100</v>
      </c>
    </row>
    <row r="86" spans="1:7" x14ac:dyDescent="0.3">
      <c r="A86" s="1">
        <v>45910</v>
      </c>
      <c r="B86" s="2">
        <v>24.64</v>
      </c>
      <c r="C86" s="2">
        <v>24.65</v>
      </c>
      <c r="D86" s="2">
        <v>24.45</v>
      </c>
      <c r="E86" s="2">
        <v>24.57</v>
      </c>
      <c r="F86" s="2">
        <v>24.14</v>
      </c>
      <c r="G86" s="3">
        <v>32975900</v>
      </c>
    </row>
    <row r="87" spans="1:7" x14ac:dyDescent="0.3">
      <c r="A87" s="1">
        <v>45909</v>
      </c>
      <c r="B87" s="2">
        <v>24.55</v>
      </c>
      <c r="C87" s="2">
        <v>24.79</v>
      </c>
      <c r="D87" s="2">
        <v>24.51</v>
      </c>
      <c r="E87" s="2">
        <v>24.71</v>
      </c>
      <c r="F87" s="2">
        <v>24.28</v>
      </c>
      <c r="G87" s="3">
        <v>32751300</v>
      </c>
    </row>
    <row r="88" spans="1:7" x14ac:dyDescent="0.3">
      <c r="A88" s="1">
        <v>45908</v>
      </c>
      <c r="B88" s="2">
        <v>24.9</v>
      </c>
      <c r="C88" s="2">
        <v>24.97</v>
      </c>
      <c r="D88" s="2">
        <v>24.31</v>
      </c>
      <c r="E88" s="2">
        <v>24.55</v>
      </c>
      <c r="F88" s="2">
        <v>24.13</v>
      </c>
      <c r="G88" s="3">
        <v>49242900</v>
      </c>
    </row>
    <row r="89" spans="1:7" x14ac:dyDescent="0.3">
      <c r="A89" s="1">
        <v>45905</v>
      </c>
      <c r="B89" s="2">
        <v>24.57</v>
      </c>
      <c r="C89" s="2">
        <v>24.89</v>
      </c>
      <c r="D89" s="2">
        <v>24.51</v>
      </c>
      <c r="E89" s="2">
        <v>24.88</v>
      </c>
      <c r="F89" s="2">
        <v>24.45</v>
      </c>
      <c r="G89" s="3">
        <v>34613200</v>
      </c>
    </row>
    <row r="90" spans="1:7" x14ac:dyDescent="0.3">
      <c r="A90" s="1">
        <v>45904</v>
      </c>
      <c r="B90" s="2">
        <v>24.78</v>
      </c>
      <c r="C90" s="2">
        <v>24.78</v>
      </c>
      <c r="D90" s="2">
        <v>24.35</v>
      </c>
      <c r="E90" s="2">
        <v>24.54</v>
      </c>
      <c r="F90" s="2">
        <v>24.12</v>
      </c>
      <c r="G90" s="3">
        <v>41695500</v>
      </c>
    </row>
    <row r="91" spans="1:7" x14ac:dyDescent="0.3">
      <c r="A91" s="1">
        <v>45903</v>
      </c>
      <c r="B91" s="2">
        <v>24.88</v>
      </c>
      <c r="C91" s="2">
        <v>25.12</v>
      </c>
      <c r="D91" s="2">
        <v>24.72</v>
      </c>
      <c r="E91" s="2">
        <v>24.79</v>
      </c>
      <c r="F91" s="2">
        <v>24.36</v>
      </c>
      <c r="G91" s="3">
        <v>30957600</v>
      </c>
    </row>
    <row r="92" spans="1:7" x14ac:dyDescent="0.3">
      <c r="A92" s="1">
        <v>45902</v>
      </c>
      <c r="B92" s="2">
        <v>24.73</v>
      </c>
      <c r="C92" s="2">
        <v>25.07</v>
      </c>
      <c r="D92" s="2">
        <v>24.71</v>
      </c>
      <c r="E92" s="2">
        <v>24.98</v>
      </c>
      <c r="F92" s="2">
        <v>24.55</v>
      </c>
      <c r="G92" s="3">
        <v>44725000</v>
      </c>
    </row>
    <row r="93" spans="1:7" x14ac:dyDescent="0.3">
      <c r="A93" s="1">
        <v>45898</v>
      </c>
      <c r="B93" s="2">
        <v>24.68</v>
      </c>
      <c r="C93" s="2">
        <v>24.88</v>
      </c>
      <c r="D93" s="2">
        <v>24.51</v>
      </c>
      <c r="E93" s="2">
        <v>24.76</v>
      </c>
      <c r="F93" s="2">
        <v>24.33</v>
      </c>
      <c r="G93" s="3">
        <v>37030000</v>
      </c>
    </row>
    <row r="94" spans="1:7" x14ac:dyDescent="0.3">
      <c r="A94" s="1">
        <v>45897</v>
      </c>
      <c r="B94" s="2">
        <v>25.07</v>
      </c>
      <c r="C94" s="2">
        <v>25.07</v>
      </c>
      <c r="D94" s="2">
        <v>24.51</v>
      </c>
      <c r="E94" s="2">
        <v>24.6</v>
      </c>
      <c r="F94" s="2">
        <v>24.17</v>
      </c>
      <c r="G94" s="3">
        <v>44306800</v>
      </c>
    </row>
    <row r="95" spans="1:7" x14ac:dyDescent="0.3">
      <c r="A95" s="1">
        <v>45896</v>
      </c>
      <c r="B95" s="2">
        <v>25.01</v>
      </c>
      <c r="C95" s="2">
        <v>25.17</v>
      </c>
      <c r="D95" s="2">
        <v>24.85</v>
      </c>
      <c r="E95" s="2">
        <v>25.07</v>
      </c>
      <c r="F95" s="2">
        <v>24.64</v>
      </c>
      <c r="G95" s="3">
        <v>31840300</v>
      </c>
    </row>
    <row r="96" spans="1:7" x14ac:dyDescent="0.3">
      <c r="A96" s="1">
        <v>45895</v>
      </c>
      <c r="B96" s="2">
        <v>25.14</v>
      </c>
      <c r="C96" s="2">
        <v>25.24</v>
      </c>
      <c r="D96" s="2">
        <v>24.87</v>
      </c>
      <c r="E96" s="2">
        <v>24.92</v>
      </c>
      <c r="F96" s="2">
        <v>24.49</v>
      </c>
      <c r="G96" s="3">
        <v>43938700</v>
      </c>
    </row>
    <row r="97" spans="1:7" x14ac:dyDescent="0.3">
      <c r="A97" s="1">
        <v>45894</v>
      </c>
      <c r="B97" s="2">
        <v>25.88</v>
      </c>
      <c r="C97" s="2">
        <v>25.89</v>
      </c>
      <c r="D97" s="2">
        <v>25.11</v>
      </c>
      <c r="E97" s="2">
        <v>25.14</v>
      </c>
      <c r="F97" s="2">
        <v>24.7</v>
      </c>
      <c r="G97" s="3">
        <v>32684200</v>
      </c>
    </row>
    <row r="98" spans="1:7" x14ac:dyDescent="0.3">
      <c r="A98" s="1">
        <v>45891</v>
      </c>
      <c r="B98" s="2">
        <v>25.9</v>
      </c>
      <c r="C98" s="2">
        <v>26.11</v>
      </c>
      <c r="D98" s="2">
        <v>25.76</v>
      </c>
      <c r="E98" s="2">
        <v>25.88</v>
      </c>
      <c r="F98" s="2">
        <v>25.43</v>
      </c>
      <c r="G98" s="3">
        <v>34560500</v>
      </c>
    </row>
    <row r="99" spans="1:7" x14ac:dyDescent="0.3">
      <c r="A99" s="1">
        <v>45890</v>
      </c>
      <c r="B99" s="2">
        <v>25.41</v>
      </c>
      <c r="C99" s="2">
        <v>25.89</v>
      </c>
      <c r="D99" s="2">
        <v>25.37</v>
      </c>
      <c r="E99" s="2">
        <v>25.74</v>
      </c>
      <c r="F99" s="2">
        <v>25.29</v>
      </c>
      <c r="G99" s="3">
        <v>37068100</v>
      </c>
    </row>
    <row r="100" spans="1:7" x14ac:dyDescent="0.3">
      <c r="A100" s="1">
        <v>45889</v>
      </c>
      <c r="B100" s="2">
        <v>25.39</v>
      </c>
      <c r="C100" s="2">
        <v>25.69</v>
      </c>
      <c r="D100" s="2">
        <v>25.34</v>
      </c>
      <c r="E100" s="2">
        <v>25.38</v>
      </c>
      <c r="F100" s="2">
        <v>24.94</v>
      </c>
      <c r="G100" s="3">
        <v>38111000</v>
      </c>
    </row>
    <row r="101" spans="1:7" x14ac:dyDescent="0.3">
      <c r="A101" s="1">
        <v>45888</v>
      </c>
      <c r="B101" s="2">
        <v>25.14</v>
      </c>
      <c r="C101" s="2">
        <v>25.43</v>
      </c>
      <c r="D101" s="2">
        <v>25.1</v>
      </c>
      <c r="E101" s="2">
        <v>25.32</v>
      </c>
      <c r="F101" s="2">
        <v>24.88</v>
      </c>
      <c r="G101" s="3">
        <v>29170500</v>
      </c>
    </row>
    <row r="102" spans="1:7" x14ac:dyDescent="0.3">
      <c r="A102" s="1">
        <v>45887</v>
      </c>
      <c r="B102" s="2">
        <v>25.14</v>
      </c>
      <c r="C102" s="2">
        <v>25.23</v>
      </c>
      <c r="D102" s="2">
        <v>25.01</v>
      </c>
      <c r="E102" s="2">
        <v>25.07</v>
      </c>
      <c r="F102" s="2">
        <v>24.64</v>
      </c>
      <c r="G102" s="3">
        <v>35623300</v>
      </c>
    </row>
    <row r="103" spans="1:7" x14ac:dyDescent="0.3">
      <c r="A103" s="1">
        <v>45884</v>
      </c>
      <c r="B103" s="2">
        <v>25.22</v>
      </c>
      <c r="C103" s="2">
        <v>25.3</v>
      </c>
      <c r="D103" s="2">
        <v>24.97</v>
      </c>
      <c r="E103" s="2">
        <v>25.14</v>
      </c>
      <c r="F103" s="2">
        <v>24.7</v>
      </c>
      <c r="G103" s="3">
        <v>31844800</v>
      </c>
    </row>
    <row r="104" spans="1:7" x14ac:dyDescent="0.3">
      <c r="A104" s="1">
        <v>45883</v>
      </c>
      <c r="B104" s="2">
        <v>25.09</v>
      </c>
      <c r="C104" s="2">
        <v>25.18</v>
      </c>
      <c r="D104" s="2">
        <v>24.82</v>
      </c>
      <c r="E104" s="2">
        <v>25.11</v>
      </c>
      <c r="F104" s="2">
        <v>24.68</v>
      </c>
      <c r="G104" s="3">
        <v>32514000</v>
      </c>
    </row>
    <row r="105" spans="1:7" x14ac:dyDescent="0.3">
      <c r="A105" s="1">
        <v>45882</v>
      </c>
      <c r="B105" s="2">
        <v>24.75</v>
      </c>
      <c r="C105" s="2">
        <v>25.2</v>
      </c>
      <c r="D105" s="2">
        <v>24.74</v>
      </c>
      <c r="E105" s="2">
        <v>25.16</v>
      </c>
      <c r="F105" s="2">
        <v>24.72</v>
      </c>
      <c r="G105" s="3">
        <v>40176500</v>
      </c>
    </row>
    <row r="106" spans="1:7" x14ac:dyDescent="0.3">
      <c r="A106" s="1">
        <v>45881</v>
      </c>
      <c r="B106" s="2">
        <v>24.66</v>
      </c>
      <c r="C106" s="2">
        <v>24.77</v>
      </c>
      <c r="D106" s="2">
        <v>24.47</v>
      </c>
      <c r="E106" s="2">
        <v>24.65</v>
      </c>
      <c r="F106" s="2">
        <v>24.22</v>
      </c>
      <c r="G106" s="3">
        <v>34402700</v>
      </c>
    </row>
    <row r="107" spans="1:7" x14ac:dyDescent="0.3">
      <c r="A107" s="1">
        <v>45880</v>
      </c>
      <c r="B107" s="2">
        <v>24.6</v>
      </c>
      <c r="C107" s="2">
        <v>24.92</v>
      </c>
      <c r="D107" s="2">
        <v>24.53</v>
      </c>
      <c r="E107" s="2">
        <v>24.58</v>
      </c>
      <c r="F107" s="2">
        <v>24.15</v>
      </c>
      <c r="G107" s="3">
        <v>38115700</v>
      </c>
    </row>
    <row r="108" spans="1:7" x14ac:dyDescent="0.3">
      <c r="A108" s="1">
        <v>45877</v>
      </c>
      <c r="B108" s="2">
        <v>24.29</v>
      </c>
      <c r="C108" s="2">
        <v>24.61</v>
      </c>
      <c r="D108" s="2">
        <v>24.16</v>
      </c>
      <c r="E108" s="2">
        <v>24.58</v>
      </c>
      <c r="F108" s="2">
        <v>24.15</v>
      </c>
      <c r="G108" s="3">
        <v>36377000</v>
      </c>
    </row>
    <row r="109" spans="1:7" x14ac:dyDescent="0.3">
      <c r="A109" s="1">
        <v>45876</v>
      </c>
      <c r="B109" s="2">
        <v>24.17</v>
      </c>
      <c r="C109" s="2">
        <v>24.47</v>
      </c>
      <c r="D109" s="2">
        <v>23.94</v>
      </c>
      <c r="E109" s="2">
        <v>24.23</v>
      </c>
      <c r="F109" s="2">
        <v>23.81</v>
      </c>
      <c r="G109" s="3">
        <v>45494400</v>
      </c>
    </row>
    <row r="110" spans="1:7" x14ac:dyDescent="0.3">
      <c r="A110" s="1">
        <v>45875</v>
      </c>
      <c r="B110" s="2">
        <v>24.68</v>
      </c>
      <c r="C110" s="2">
        <v>24.71</v>
      </c>
      <c r="D110" s="2">
        <v>23.86</v>
      </c>
      <c r="E110" s="2">
        <v>23.93</v>
      </c>
      <c r="F110" s="2">
        <v>23.52</v>
      </c>
      <c r="G110" s="3">
        <v>65689200</v>
      </c>
    </row>
    <row r="111" spans="1:7" x14ac:dyDescent="0.3">
      <c r="A111" s="1">
        <v>45874</v>
      </c>
      <c r="B111" s="2">
        <v>24.27</v>
      </c>
      <c r="C111" s="2">
        <v>24.89</v>
      </c>
      <c r="D111" s="2">
        <v>24.27</v>
      </c>
      <c r="E111" s="2">
        <v>24.75</v>
      </c>
      <c r="F111" s="2">
        <v>24.32</v>
      </c>
      <c r="G111" s="3">
        <v>113955100</v>
      </c>
    </row>
    <row r="112" spans="1:7" x14ac:dyDescent="0.3">
      <c r="A112" s="1">
        <v>45873</v>
      </c>
      <c r="B112" s="2">
        <v>23.44</v>
      </c>
      <c r="C112" s="2">
        <v>23.68</v>
      </c>
      <c r="D112" s="2">
        <v>23.4</v>
      </c>
      <c r="E112" s="2">
        <v>23.53</v>
      </c>
      <c r="F112" s="2">
        <v>23.12</v>
      </c>
      <c r="G112" s="3">
        <v>57010700</v>
      </c>
    </row>
    <row r="113" spans="1:7" x14ac:dyDescent="0.3">
      <c r="A113" s="1">
        <v>45870</v>
      </c>
      <c r="B113" s="2">
        <v>23.3</v>
      </c>
      <c r="C113" s="2">
        <v>23.52</v>
      </c>
      <c r="D113" s="2">
        <v>23.11</v>
      </c>
      <c r="E113" s="2">
        <v>23.49</v>
      </c>
      <c r="F113" s="2">
        <v>23.08</v>
      </c>
      <c r="G113" s="3">
        <v>51332700</v>
      </c>
    </row>
    <row r="114" spans="1:7" x14ac:dyDescent="0.3">
      <c r="A114" s="1">
        <v>45869</v>
      </c>
      <c r="B114" s="2">
        <v>23.6</v>
      </c>
      <c r="C114" s="2">
        <v>23.84</v>
      </c>
      <c r="D114" s="2">
        <v>23.14</v>
      </c>
      <c r="E114" s="2">
        <v>23.29</v>
      </c>
      <c r="F114" s="2">
        <v>22.89</v>
      </c>
      <c r="G114" s="3">
        <v>62768300</v>
      </c>
    </row>
    <row r="115" spans="1:7" x14ac:dyDescent="0.3">
      <c r="A115" s="1">
        <v>45868</v>
      </c>
      <c r="B115" s="2">
        <v>24.32</v>
      </c>
      <c r="C115" s="2">
        <v>24.4</v>
      </c>
      <c r="D115" s="2">
        <v>23.8</v>
      </c>
      <c r="E115" s="2">
        <v>23.81</v>
      </c>
      <c r="F115" s="2">
        <v>23.4</v>
      </c>
      <c r="G115" s="3">
        <v>35649500</v>
      </c>
    </row>
    <row r="116" spans="1:7" x14ac:dyDescent="0.3">
      <c r="A116" s="1">
        <v>45867</v>
      </c>
      <c r="B116" s="2">
        <v>24.31</v>
      </c>
      <c r="C116" s="2">
        <v>24.33</v>
      </c>
      <c r="D116" s="2">
        <v>23.93</v>
      </c>
      <c r="E116" s="2">
        <v>24.3</v>
      </c>
      <c r="F116" s="2">
        <v>23.88</v>
      </c>
      <c r="G116" s="3">
        <v>38499800</v>
      </c>
    </row>
    <row r="117" spans="1:7" x14ac:dyDescent="0.3">
      <c r="A117" s="1">
        <v>45866</v>
      </c>
      <c r="B117" s="2">
        <v>24.68</v>
      </c>
      <c r="C117" s="2">
        <v>24.73</v>
      </c>
      <c r="D117" s="2">
        <v>24.24</v>
      </c>
      <c r="E117" s="2">
        <v>24.31</v>
      </c>
      <c r="F117" s="2">
        <v>23.89</v>
      </c>
      <c r="G117" s="3">
        <v>31096600</v>
      </c>
    </row>
    <row r="118" spans="1:7" x14ac:dyDescent="0.3">
      <c r="A118" s="1">
        <v>45863</v>
      </c>
      <c r="B118" s="2">
        <v>24.97</v>
      </c>
      <c r="C118" s="2">
        <v>24.97</v>
      </c>
      <c r="D118" s="2">
        <v>24.62</v>
      </c>
      <c r="E118" s="2">
        <v>24.79</v>
      </c>
      <c r="F118" s="2">
        <v>24.36</v>
      </c>
      <c r="G118" s="3">
        <v>35643400</v>
      </c>
    </row>
    <row r="119" spans="1:7" x14ac:dyDescent="0.3">
      <c r="A119" s="1">
        <v>45862</v>
      </c>
      <c r="B119" s="2">
        <v>25.39</v>
      </c>
      <c r="C119" s="2">
        <v>25.54</v>
      </c>
      <c r="D119" s="2">
        <v>25.26</v>
      </c>
      <c r="E119" s="2">
        <v>25.35</v>
      </c>
      <c r="F119" s="2">
        <v>24.49</v>
      </c>
      <c r="G119" s="3">
        <v>25672400</v>
      </c>
    </row>
    <row r="120" spans="1:7" x14ac:dyDescent="0.3">
      <c r="A120" s="1">
        <v>45861</v>
      </c>
      <c r="B120" s="2">
        <v>25.38</v>
      </c>
      <c r="C120" s="2">
        <v>25.53</v>
      </c>
      <c r="D120" s="2">
        <v>25.25</v>
      </c>
      <c r="E120" s="2">
        <v>25.36</v>
      </c>
      <c r="F120" s="2">
        <v>24.5</v>
      </c>
      <c r="G120" s="3">
        <v>42073300</v>
      </c>
    </row>
    <row r="121" spans="1:7" x14ac:dyDescent="0.3">
      <c r="A121" s="1">
        <v>45860</v>
      </c>
      <c r="B121" s="2">
        <v>24.37</v>
      </c>
      <c r="C121" s="2">
        <v>25.14</v>
      </c>
      <c r="D121" s="2">
        <v>24.34</v>
      </c>
      <c r="E121" s="2">
        <v>25.14</v>
      </c>
      <c r="F121" s="2">
        <v>24.29</v>
      </c>
      <c r="G121" s="3">
        <v>48091600</v>
      </c>
    </row>
    <row r="122" spans="1:7" x14ac:dyDescent="0.3">
      <c r="A122" s="1">
        <v>45859</v>
      </c>
      <c r="B122" s="2">
        <v>24.59</v>
      </c>
      <c r="C122" s="2">
        <v>24.65</v>
      </c>
      <c r="D122" s="2">
        <v>24.26</v>
      </c>
      <c r="E122" s="2">
        <v>24.26</v>
      </c>
      <c r="F122" s="2">
        <v>23.44</v>
      </c>
      <c r="G122" s="3">
        <v>33663400</v>
      </c>
    </row>
    <row r="123" spans="1:7" x14ac:dyDescent="0.3">
      <c r="A123" s="1">
        <v>45856</v>
      </c>
      <c r="B123" s="2">
        <v>24.71</v>
      </c>
      <c r="C123" s="2">
        <v>24.78</v>
      </c>
      <c r="D123" s="2">
        <v>24.39</v>
      </c>
      <c r="E123" s="2">
        <v>24.47</v>
      </c>
      <c r="F123" s="2">
        <v>23.64</v>
      </c>
      <c r="G123" s="3">
        <v>36309400</v>
      </c>
    </row>
    <row r="124" spans="1:7" x14ac:dyDescent="0.3">
      <c r="A124" s="1">
        <v>45855</v>
      </c>
      <c r="B124" s="2">
        <v>24.49</v>
      </c>
      <c r="C124" s="2">
        <v>24.78</v>
      </c>
      <c r="D124" s="2">
        <v>24.45</v>
      </c>
      <c r="E124" s="2">
        <v>24.58</v>
      </c>
      <c r="F124" s="2">
        <v>23.74</v>
      </c>
      <c r="G124" s="3">
        <v>47393900</v>
      </c>
    </row>
    <row r="125" spans="1:7" x14ac:dyDescent="0.3">
      <c r="A125" s="1">
        <v>45854</v>
      </c>
      <c r="B125" s="2">
        <v>24.68</v>
      </c>
      <c r="C125" s="2">
        <v>24.96</v>
      </c>
      <c r="D125" s="2">
        <v>24.53</v>
      </c>
      <c r="E125" s="2">
        <v>24.61</v>
      </c>
      <c r="F125" s="2">
        <v>23.77</v>
      </c>
      <c r="G125" s="3">
        <v>44218200</v>
      </c>
    </row>
    <row r="126" spans="1:7" x14ac:dyDescent="0.3">
      <c r="A126" s="1">
        <v>45853</v>
      </c>
      <c r="B126" s="2">
        <v>25.34</v>
      </c>
      <c r="C126" s="2">
        <v>25.44</v>
      </c>
      <c r="D126" s="2">
        <v>24.53</v>
      </c>
      <c r="E126" s="2">
        <v>24.61</v>
      </c>
      <c r="F126" s="2">
        <v>23.77</v>
      </c>
      <c r="G126" s="3">
        <v>54458000</v>
      </c>
    </row>
    <row r="127" spans="1:7" x14ac:dyDescent="0.3">
      <c r="A127" s="1">
        <v>45852</v>
      </c>
      <c r="B127" s="2">
        <v>25.58</v>
      </c>
      <c r="C127" s="2">
        <v>25.63</v>
      </c>
      <c r="D127" s="2">
        <v>25.34</v>
      </c>
      <c r="E127" s="2">
        <v>25.35</v>
      </c>
      <c r="F127" s="2">
        <v>24.49</v>
      </c>
      <c r="G127" s="3">
        <v>25918000</v>
      </c>
    </row>
    <row r="128" spans="1:7" x14ac:dyDescent="0.3">
      <c r="A128" s="1">
        <v>45849</v>
      </c>
      <c r="B128" s="2">
        <v>25.65</v>
      </c>
      <c r="C128" s="2">
        <v>25.72</v>
      </c>
      <c r="D128" s="2">
        <v>25.42</v>
      </c>
      <c r="E128" s="2">
        <v>25.65</v>
      </c>
      <c r="F128" s="2">
        <v>24.78</v>
      </c>
      <c r="G128" s="3">
        <v>34864400</v>
      </c>
    </row>
    <row r="129" spans="1:7" x14ac:dyDescent="0.3">
      <c r="A129" s="1">
        <v>45848</v>
      </c>
      <c r="B129" s="2">
        <v>25.58</v>
      </c>
      <c r="C129" s="2">
        <v>26.05</v>
      </c>
      <c r="D129" s="2">
        <v>25.54</v>
      </c>
      <c r="E129" s="2">
        <v>25.78</v>
      </c>
      <c r="F129" s="2">
        <v>24.9</v>
      </c>
      <c r="G129" s="3">
        <v>39499200</v>
      </c>
    </row>
    <row r="130" spans="1:7" x14ac:dyDescent="0.3">
      <c r="A130" s="1">
        <v>45847</v>
      </c>
      <c r="B130" s="2">
        <v>25.69</v>
      </c>
      <c r="C130" s="2">
        <v>25.84</v>
      </c>
      <c r="D130" s="2">
        <v>25.34</v>
      </c>
      <c r="E130" s="2">
        <v>25.56</v>
      </c>
      <c r="F130" s="2">
        <v>24.69</v>
      </c>
      <c r="G130" s="3">
        <v>38362200</v>
      </c>
    </row>
    <row r="131" spans="1:7" x14ac:dyDescent="0.3">
      <c r="A131" s="1">
        <v>45846</v>
      </c>
      <c r="B131" s="2">
        <v>25.24</v>
      </c>
      <c r="C131" s="2">
        <v>25.96</v>
      </c>
      <c r="D131" s="2">
        <v>25.21</v>
      </c>
      <c r="E131" s="2">
        <v>25.62</v>
      </c>
      <c r="F131" s="2">
        <v>24.75</v>
      </c>
      <c r="G131" s="3">
        <v>51275800</v>
      </c>
    </row>
    <row r="132" spans="1:7" x14ac:dyDescent="0.3">
      <c r="A132" s="1">
        <v>45845</v>
      </c>
      <c r="B132" s="2">
        <v>25.36</v>
      </c>
      <c r="C132" s="2">
        <v>25.53</v>
      </c>
      <c r="D132" s="2">
        <v>25.14</v>
      </c>
      <c r="E132" s="2">
        <v>25.24</v>
      </c>
      <c r="F132" s="2">
        <v>24.38</v>
      </c>
      <c r="G132" s="3">
        <v>34905900</v>
      </c>
    </row>
    <row r="133" spans="1:7" x14ac:dyDescent="0.3">
      <c r="A133" s="1">
        <v>45841</v>
      </c>
      <c r="B133" s="2">
        <v>25.35</v>
      </c>
      <c r="C133" s="2">
        <v>25.52</v>
      </c>
      <c r="D133" s="2">
        <v>25.22</v>
      </c>
      <c r="E133" s="2">
        <v>25.38</v>
      </c>
      <c r="F133" s="2">
        <v>24.52</v>
      </c>
      <c r="G133" s="3">
        <v>27104600</v>
      </c>
    </row>
    <row r="134" spans="1:7" x14ac:dyDescent="0.3">
      <c r="A134" s="1">
        <v>45840</v>
      </c>
      <c r="B134" s="2">
        <v>25.13</v>
      </c>
      <c r="C134" s="2">
        <v>25.36</v>
      </c>
      <c r="D134" s="2">
        <v>25.03</v>
      </c>
      <c r="E134" s="2">
        <v>25.32</v>
      </c>
      <c r="F134" s="2">
        <v>24.46</v>
      </c>
      <c r="G134" s="3">
        <v>36772100</v>
      </c>
    </row>
    <row r="135" spans="1:7" x14ac:dyDescent="0.3">
      <c r="A135" s="1">
        <v>45839</v>
      </c>
      <c r="B135" s="2">
        <v>24.28</v>
      </c>
      <c r="C135" s="2">
        <v>25.35</v>
      </c>
      <c r="D135" s="2">
        <v>24.26</v>
      </c>
      <c r="E135" s="2">
        <v>25.04</v>
      </c>
      <c r="F135" s="2">
        <v>24.19</v>
      </c>
      <c r="G135" s="3">
        <v>59259900</v>
      </c>
    </row>
    <row r="136" spans="1:7" x14ac:dyDescent="0.3">
      <c r="A136" s="1">
        <v>45838</v>
      </c>
      <c r="B136" s="2">
        <v>24.21</v>
      </c>
      <c r="C136" s="2">
        <v>24.38</v>
      </c>
      <c r="D136" s="2">
        <v>24.12</v>
      </c>
      <c r="E136" s="2">
        <v>24.24</v>
      </c>
      <c r="F136" s="2">
        <v>23.42</v>
      </c>
      <c r="G136" s="3">
        <v>44730900</v>
      </c>
    </row>
    <row r="137" spans="1:7" x14ac:dyDescent="0.3">
      <c r="A137" s="1">
        <v>45835</v>
      </c>
      <c r="B137" s="2">
        <v>24.35</v>
      </c>
      <c r="C137" s="2">
        <v>24.42</v>
      </c>
      <c r="D137" s="2">
        <v>24.08</v>
      </c>
      <c r="E137" s="2">
        <v>24.19</v>
      </c>
      <c r="F137" s="2">
        <v>23.37</v>
      </c>
      <c r="G137" s="3">
        <v>39528800</v>
      </c>
    </row>
    <row r="138" spans="1:7" x14ac:dyDescent="0.3">
      <c r="A138" s="1">
        <v>45834</v>
      </c>
      <c r="B138" s="2">
        <v>24.32</v>
      </c>
      <c r="C138" s="2">
        <v>24.43</v>
      </c>
      <c r="D138" s="2">
        <v>24.16</v>
      </c>
      <c r="E138" s="2">
        <v>24.24</v>
      </c>
      <c r="F138" s="2">
        <v>23.42</v>
      </c>
      <c r="G138" s="3">
        <v>31835300</v>
      </c>
    </row>
    <row r="139" spans="1:7" x14ac:dyDescent="0.3">
      <c r="A139" s="1">
        <v>45833</v>
      </c>
      <c r="B139" s="2">
        <v>24.21</v>
      </c>
      <c r="C139" s="2">
        <v>24.37</v>
      </c>
      <c r="D139" s="2">
        <v>24.07</v>
      </c>
      <c r="E139" s="2">
        <v>24.26</v>
      </c>
      <c r="F139" s="2">
        <v>23.44</v>
      </c>
      <c r="G139" s="3">
        <v>25603300</v>
      </c>
    </row>
    <row r="140" spans="1:7" x14ac:dyDescent="0.3">
      <c r="A140" s="1">
        <v>45832</v>
      </c>
      <c r="B140" s="2">
        <v>24.14</v>
      </c>
      <c r="C140" s="2">
        <v>24.4</v>
      </c>
      <c r="D140" s="2">
        <v>24.11</v>
      </c>
      <c r="E140" s="2">
        <v>24.31</v>
      </c>
      <c r="F140" s="2">
        <v>23.48</v>
      </c>
      <c r="G140" s="3">
        <v>34404200</v>
      </c>
    </row>
    <row r="141" spans="1:7" x14ac:dyDescent="0.3">
      <c r="A141" s="1">
        <v>45831</v>
      </c>
      <c r="B141" s="2">
        <v>23.87</v>
      </c>
      <c r="C141" s="2">
        <v>24.09</v>
      </c>
      <c r="D141" s="2">
        <v>23.77</v>
      </c>
      <c r="E141" s="2">
        <v>24.03</v>
      </c>
      <c r="F141" s="2">
        <v>23.21</v>
      </c>
      <c r="G141" s="3">
        <v>31959100</v>
      </c>
    </row>
    <row r="142" spans="1:7" x14ac:dyDescent="0.3">
      <c r="A142" s="1">
        <v>45828</v>
      </c>
      <c r="B142" s="2">
        <v>24</v>
      </c>
      <c r="C142" s="2">
        <v>24.09</v>
      </c>
      <c r="D142" s="2">
        <v>23.77</v>
      </c>
      <c r="E142" s="2">
        <v>23.97</v>
      </c>
      <c r="F142" s="2">
        <v>23.16</v>
      </c>
      <c r="G142" s="3">
        <v>63098100</v>
      </c>
    </row>
    <row r="143" spans="1:7" x14ac:dyDescent="0.3">
      <c r="A143" s="1">
        <v>45826</v>
      </c>
      <c r="B143" s="2">
        <v>23.96</v>
      </c>
      <c r="C143" s="2">
        <v>24.08</v>
      </c>
      <c r="D143" s="2">
        <v>23.77</v>
      </c>
      <c r="E143" s="2">
        <v>23.88</v>
      </c>
      <c r="F143" s="2">
        <v>23.07</v>
      </c>
      <c r="G143" s="3">
        <v>37076200</v>
      </c>
    </row>
    <row r="144" spans="1:7" x14ac:dyDescent="0.3">
      <c r="A144" s="1">
        <v>45825</v>
      </c>
      <c r="B144" s="2">
        <v>24.27</v>
      </c>
      <c r="C144" s="2">
        <v>24.32</v>
      </c>
      <c r="D144" s="2">
        <v>23.91</v>
      </c>
      <c r="E144" s="2">
        <v>24</v>
      </c>
      <c r="F144" s="2">
        <v>23.18</v>
      </c>
      <c r="G144" s="3">
        <v>40408800</v>
      </c>
    </row>
    <row r="145" spans="1:7" x14ac:dyDescent="0.3">
      <c r="A145" s="1">
        <v>45824</v>
      </c>
      <c r="B145" s="2">
        <v>24.5</v>
      </c>
      <c r="C145" s="2">
        <v>24.59</v>
      </c>
      <c r="D145" s="2">
        <v>24.28</v>
      </c>
      <c r="E145" s="2">
        <v>24.4</v>
      </c>
      <c r="F145" s="2">
        <v>23.57</v>
      </c>
      <c r="G145" s="3">
        <v>35102100</v>
      </c>
    </row>
    <row r="146" spans="1:7" x14ac:dyDescent="0.3">
      <c r="A146" s="1">
        <v>45821</v>
      </c>
      <c r="B146" s="2">
        <v>24.79</v>
      </c>
      <c r="C146" s="2">
        <v>24.95</v>
      </c>
      <c r="D146" s="2">
        <v>24.46</v>
      </c>
      <c r="E146" s="2">
        <v>24.54</v>
      </c>
      <c r="F146" s="2">
        <v>23.71</v>
      </c>
      <c r="G146" s="3">
        <v>46368400</v>
      </c>
    </row>
    <row r="147" spans="1:7" x14ac:dyDescent="0.3">
      <c r="A147" s="1">
        <v>45820</v>
      </c>
      <c r="B147" s="2">
        <v>24.53</v>
      </c>
      <c r="C147" s="2">
        <v>24.88</v>
      </c>
      <c r="D147" s="2">
        <v>24.53</v>
      </c>
      <c r="E147" s="2">
        <v>24.84</v>
      </c>
      <c r="F147" s="2">
        <v>24</v>
      </c>
      <c r="G147" s="3">
        <v>42465400</v>
      </c>
    </row>
    <row r="148" spans="1:7" x14ac:dyDescent="0.3">
      <c r="A148" s="1">
        <v>45819</v>
      </c>
      <c r="B148" s="2">
        <v>24.33</v>
      </c>
      <c r="C148" s="2">
        <v>24.69</v>
      </c>
      <c r="D148" s="2">
        <v>24.32</v>
      </c>
      <c r="E148" s="2">
        <v>24.48</v>
      </c>
      <c r="F148" s="2">
        <v>23.65</v>
      </c>
      <c r="G148" s="3">
        <v>38558700</v>
      </c>
    </row>
    <row r="149" spans="1:7" x14ac:dyDescent="0.3">
      <c r="A149" s="1">
        <v>45818</v>
      </c>
      <c r="B149" s="2">
        <v>23.97</v>
      </c>
      <c r="C149" s="2">
        <v>24.42</v>
      </c>
      <c r="D149" s="2">
        <v>23.96</v>
      </c>
      <c r="E149" s="2">
        <v>24.3</v>
      </c>
      <c r="F149" s="2">
        <v>23.47</v>
      </c>
      <c r="G149" s="3">
        <v>40439200</v>
      </c>
    </row>
    <row r="150" spans="1:7" x14ac:dyDescent="0.3">
      <c r="A150" s="1">
        <v>45817</v>
      </c>
      <c r="B150" s="2">
        <v>23.44</v>
      </c>
      <c r="C150" s="2">
        <v>24.14</v>
      </c>
      <c r="D150" s="2">
        <v>23.42</v>
      </c>
      <c r="E150" s="2">
        <v>23.97</v>
      </c>
      <c r="F150" s="2">
        <v>23.16</v>
      </c>
      <c r="G150" s="3">
        <v>42542600</v>
      </c>
    </row>
    <row r="151" spans="1:7" x14ac:dyDescent="0.3">
      <c r="A151" s="1">
        <v>45814</v>
      </c>
      <c r="B151" s="2">
        <v>23.27</v>
      </c>
      <c r="C151" s="2">
        <v>23.58</v>
      </c>
      <c r="D151" s="2">
        <v>23.25</v>
      </c>
      <c r="E151" s="2">
        <v>23.35</v>
      </c>
      <c r="F151" s="2">
        <v>22.56</v>
      </c>
      <c r="G151" s="3">
        <v>30426200</v>
      </c>
    </row>
    <row r="152" spans="1:7" x14ac:dyDescent="0.3">
      <c r="A152" s="1">
        <v>45813</v>
      </c>
      <c r="B152" s="2">
        <v>23.44</v>
      </c>
      <c r="C152" s="2">
        <v>23.44</v>
      </c>
      <c r="D152" s="2">
        <v>23.08</v>
      </c>
      <c r="E152" s="2">
        <v>23.12</v>
      </c>
      <c r="F152" s="2">
        <v>22.33</v>
      </c>
      <c r="G152" s="3">
        <v>33173600</v>
      </c>
    </row>
    <row r="153" spans="1:7" x14ac:dyDescent="0.3">
      <c r="A153" s="1">
        <v>45812</v>
      </c>
      <c r="B153" s="2">
        <v>23.41</v>
      </c>
      <c r="C153" s="2">
        <v>23.54</v>
      </c>
      <c r="D153" s="2">
        <v>23.35</v>
      </c>
      <c r="E153" s="2">
        <v>23.39</v>
      </c>
      <c r="F153" s="2">
        <v>22.6</v>
      </c>
      <c r="G153" s="3">
        <v>24500100</v>
      </c>
    </row>
    <row r="154" spans="1:7" x14ac:dyDescent="0.3">
      <c r="A154" s="1">
        <v>45811</v>
      </c>
      <c r="B154" s="2">
        <v>23.38</v>
      </c>
      <c r="C154" s="2">
        <v>23.54</v>
      </c>
      <c r="D154" s="2">
        <v>23.06</v>
      </c>
      <c r="E154" s="2">
        <v>23.35</v>
      </c>
      <c r="F154" s="2">
        <v>22.56</v>
      </c>
      <c r="G154" s="3">
        <v>37887100</v>
      </c>
    </row>
    <row r="155" spans="1:7" x14ac:dyDescent="0.3">
      <c r="A155" s="1">
        <v>45810</v>
      </c>
      <c r="B155" s="2">
        <v>23.54</v>
      </c>
      <c r="C155" s="2">
        <v>23.56</v>
      </c>
      <c r="D155" s="2">
        <v>23.22</v>
      </c>
      <c r="E155" s="2">
        <v>23.46</v>
      </c>
      <c r="F155" s="2">
        <v>22.66</v>
      </c>
      <c r="G155" s="3">
        <v>30443900</v>
      </c>
    </row>
    <row r="156" spans="1:7" x14ac:dyDescent="0.3">
      <c r="A156" s="1">
        <v>45807</v>
      </c>
      <c r="B156" s="2">
        <v>23.48</v>
      </c>
      <c r="C156" s="2">
        <v>23.62</v>
      </c>
      <c r="D156" s="2">
        <v>23.16</v>
      </c>
      <c r="E156" s="2">
        <v>23.49</v>
      </c>
      <c r="F156" s="2">
        <v>22.69</v>
      </c>
      <c r="G156" s="3">
        <v>56618600</v>
      </c>
    </row>
    <row r="157" spans="1:7" x14ac:dyDescent="0.3">
      <c r="A157" s="1">
        <v>45806</v>
      </c>
      <c r="B157" s="2">
        <v>23.33</v>
      </c>
      <c r="C157" s="2">
        <v>23.45</v>
      </c>
      <c r="D157" s="2">
        <v>23.16</v>
      </c>
      <c r="E157" s="2">
        <v>23.45</v>
      </c>
      <c r="F157" s="2">
        <v>22.65</v>
      </c>
      <c r="G157" s="3">
        <v>26091400</v>
      </c>
    </row>
    <row r="158" spans="1:7" x14ac:dyDescent="0.3">
      <c r="A158" s="1">
        <v>45805</v>
      </c>
      <c r="B158" s="2">
        <v>23.61</v>
      </c>
      <c r="C158" s="2">
        <v>23.64</v>
      </c>
      <c r="D158" s="2">
        <v>23.11</v>
      </c>
      <c r="E158" s="2">
        <v>23.18</v>
      </c>
      <c r="F158" s="2">
        <v>22.39</v>
      </c>
      <c r="G158" s="3">
        <v>36737200</v>
      </c>
    </row>
    <row r="159" spans="1:7" x14ac:dyDescent="0.3">
      <c r="A159" s="1">
        <v>45804</v>
      </c>
      <c r="B159" s="2">
        <v>23.55</v>
      </c>
      <c r="C159" s="2">
        <v>23.66</v>
      </c>
      <c r="D159" s="2">
        <v>23.37</v>
      </c>
      <c r="E159" s="2">
        <v>23.61</v>
      </c>
      <c r="F159" s="2">
        <v>22.81</v>
      </c>
      <c r="G159" s="3">
        <v>36155400</v>
      </c>
    </row>
    <row r="160" spans="1:7" x14ac:dyDescent="0.3">
      <c r="A160" s="1">
        <v>45800</v>
      </c>
      <c r="B160" s="2">
        <v>22.95</v>
      </c>
      <c r="C160" s="2">
        <v>23.39</v>
      </c>
      <c r="D160" s="2">
        <v>22.88</v>
      </c>
      <c r="E160" s="2">
        <v>23.32</v>
      </c>
      <c r="F160" s="2">
        <v>22.53</v>
      </c>
      <c r="G160" s="3">
        <v>35405400</v>
      </c>
    </row>
    <row r="161" spans="1:7" x14ac:dyDescent="0.3">
      <c r="A161" s="1">
        <v>45799</v>
      </c>
      <c r="B161" s="2">
        <v>23.04</v>
      </c>
      <c r="C161" s="2">
        <v>23.16</v>
      </c>
      <c r="D161" s="2">
        <v>22.81</v>
      </c>
      <c r="E161" s="2">
        <v>23.04</v>
      </c>
      <c r="F161" s="2">
        <v>22.26</v>
      </c>
      <c r="G161" s="3">
        <v>38602800</v>
      </c>
    </row>
    <row r="162" spans="1:7" x14ac:dyDescent="0.3">
      <c r="A162" s="1">
        <v>45798</v>
      </c>
      <c r="B162" s="2">
        <v>23.47</v>
      </c>
      <c r="C162" s="2">
        <v>23.48</v>
      </c>
      <c r="D162" s="2">
        <v>23.04</v>
      </c>
      <c r="E162" s="2">
        <v>23.04</v>
      </c>
      <c r="F162" s="2">
        <v>22.26</v>
      </c>
      <c r="G162" s="3">
        <v>42984700</v>
      </c>
    </row>
    <row r="163" spans="1:7" x14ac:dyDescent="0.3">
      <c r="A163" s="1">
        <v>45797</v>
      </c>
      <c r="B163" s="2">
        <v>23.17</v>
      </c>
      <c r="C163" s="2">
        <v>23.7</v>
      </c>
      <c r="D163" s="2">
        <v>23.16</v>
      </c>
      <c r="E163" s="2">
        <v>23.52</v>
      </c>
      <c r="F163" s="2">
        <v>22.72</v>
      </c>
      <c r="G163" s="3">
        <v>57047500</v>
      </c>
    </row>
    <row r="164" spans="1:7" x14ac:dyDescent="0.3">
      <c r="A164" s="1">
        <v>45796</v>
      </c>
      <c r="B164" s="2">
        <v>22.74</v>
      </c>
      <c r="C164" s="2">
        <v>23.03</v>
      </c>
      <c r="D164" s="2">
        <v>22.64</v>
      </c>
      <c r="E164" s="2">
        <v>23</v>
      </c>
      <c r="F164" s="2">
        <v>22.22</v>
      </c>
      <c r="G164" s="3">
        <v>31513700</v>
      </c>
    </row>
    <row r="165" spans="1:7" x14ac:dyDescent="0.3">
      <c r="A165" s="1">
        <v>45793</v>
      </c>
      <c r="B165" s="2">
        <v>22.65</v>
      </c>
      <c r="C165" s="2">
        <v>22.85</v>
      </c>
      <c r="D165" s="2">
        <v>22.45</v>
      </c>
      <c r="E165" s="2">
        <v>22.83</v>
      </c>
      <c r="F165" s="2">
        <v>22.05</v>
      </c>
      <c r="G165" s="3">
        <v>37786800</v>
      </c>
    </row>
    <row r="166" spans="1:7" x14ac:dyDescent="0.3">
      <c r="A166" s="1">
        <v>45792</v>
      </c>
      <c r="B166" s="2">
        <v>22.2</v>
      </c>
      <c r="C166" s="2">
        <v>22.6</v>
      </c>
      <c r="D166" s="2">
        <v>22.09</v>
      </c>
      <c r="E166" s="2">
        <v>22.6</v>
      </c>
      <c r="F166" s="2">
        <v>21.83</v>
      </c>
      <c r="G166" s="3">
        <v>51800100</v>
      </c>
    </row>
    <row r="167" spans="1:7" x14ac:dyDescent="0.3">
      <c r="A167" s="1">
        <v>45791</v>
      </c>
      <c r="B167" s="2">
        <v>22.86</v>
      </c>
      <c r="C167" s="2">
        <v>22.9</v>
      </c>
      <c r="D167" s="2">
        <v>21.97</v>
      </c>
      <c r="E167" s="2">
        <v>22.02</v>
      </c>
      <c r="F167" s="2">
        <v>21.27</v>
      </c>
      <c r="G167" s="3">
        <v>59394000</v>
      </c>
    </row>
    <row r="168" spans="1:7" x14ac:dyDescent="0.3">
      <c r="A168" s="1">
        <v>45790</v>
      </c>
      <c r="B168" s="2">
        <v>22.9</v>
      </c>
      <c r="C168" s="2">
        <v>22.98</v>
      </c>
      <c r="D168" s="2">
        <v>22.49</v>
      </c>
      <c r="E168" s="2">
        <v>22.87</v>
      </c>
      <c r="F168" s="2">
        <v>22.09</v>
      </c>
      <c r="G168" s="3">
        <v>41193200</v>
      </c>
    </row>
    <row r="169" spans="1:7" x14ac:dyDescent="0.3">
      <c r="A169" s="1">
        <v>45789</v>
      </c>
      <c r="B169" s="2">
        <v>22.23</v>
      </c>
      <c r="C169" s="2">
        <v>23.15</v>
      </c>
      <c r="D169" s="2">
        <v>22.18</v>
      </c>
      <c r="E169" s="2">
        <v>23.09</v>
      </c>
      <c r="F169" s="2">
        <v>22.31</v>
      </c>
      <c r="G169" s="3">
        <v>77480900</v>
      </c>
    </row>
    <row r="170" spans="1:7" x14ac:dyDescent="0.3">
      <c r="A170" s="1">
        <v>45786</v>
      </c>
      <c r="B170" s="2">
        <v>22.51</v>
      </c>
      <c r="C170" s="2">
        <v>22.6</v>
      </c>
      <c r="D170" s="2">
        <v>22.26</v>
      </c>
      <c r="E170" s="2">
        <v>22.28</v>
      </c>
      <c r="F170" s="2">
        <v>21.52</v>
      </c>
      <c r="G170" s="3">
        <v>39059800</v>
      </c>
    </row>
    <row r="171" spans="1:7" x14ac:dyDescent="0.3">
      <c r="A171" s="1">
        <v>45785</v>
      </c>
      <c r="B171" s="2">
        <v>22.82</v>
      </c>
      <c r="C171" s="2">
        <v>23.09</v>
      </c>
      <c r="D171" s="2">
        <v>22.51</v>
      </c>
      <c r="E171" s="2">
        <v>22.97</v>
      </c>
      <c r="F171" s="2">
        <v>21.77</v>
      </c>
      <c r="G171" s="3">
        <v>55669800</v>
      </c>
    </row>
    <row r="172" spans="1:7" x14ac:dyDescent="0.3">
      <c r="A172" s="1">
        <v>45784</v>
      </c>
      <c r="B172" s="2">
        <v>22.99</v>
      </c>
      <c r="C172" s="2">
        <v>23.09</v>
      </c>
      <c r="D172" s="2">
        <v>22.72</v>
      </c>
      <c r="E172" s="2">
        <v>22.79</v>
      </c>
      <c r="F172" s="2">
        <v>21.6</v>
      </c>
      <c r="G172" s="3">
        <v>48270500</v>
      </c>
    </row>
    <row r="173" spans="1:7" x14ac:dyDescent="0.3">
      <c r="A173" s="1">
        <v>45783</v>
      </c>
      <c r="B173" s="2">
        <v>23.83</v>
      </c>
      <c r="C173" s="2">
        <v>23.89</v>
      </c>
      <c r="D173" s="2">
        <v>22.85</v>
      </c>
      <c r="E173" s="2">
        <v>22.88</v>
      </c>
      <c r="F173" s="2">
        <v>21.69</v>
      </c>
      <c r="G173" s="3">
        <v>60872600</v>
      </c>
    </row>
    <row r="174" spans="1:7" x14ac:dyDescent="0.3">
      <c r="A174" s="1">
        <v>45782</v>
      </c>
      <c r="B174" s="2">
        <v>24.2</v>
      </c>
      <c r="C174" s="2">
        <v>24.25</v>
      </c>
      <c r="D174" s="2">
        <v>23.85</v>
      </c>
      <c r="E174" s="2">
        <v>23.87</v>
      </c>
      <c r="F174" s="2">
        <v>22.63</v>
      </c>
      <c r="G174" s="3">
        <v>40811800</v>
      </c>
    </row>
    <row r="175" spans="1:7" x14ac:dyDescent="0.3">
      <c r="A175" s="1">
        <v>45779</v>
      </c>
      <c r="B175" s="2">
        <v>24.28</v>
      </c>
      <c r="C175" s="2">
        <v>24.3</v>
      </c>
      <c r="D175" s="2">
        <v>23.97</v>
      </c>
      <c r="E175" s="2">
        <v>24.2</v>
      </c>
      <c r="F175" s="2">
        <v>22.94</v>
      </c>
      <c r="G175" s="3">
        <v>41685800</v>
      </c>
    </row>
    <row r="176" spans="1:7" x14ac:dyDescent="0.3">
      <c r="A176" s="1">
        <v>45778</v>
      </c>
      <c r="B176" s="2">
        <v>24.3</v>
      </c>
      <c r="C176" s="2">
        <v>24.33</v>
      </c>
      <c r="D176" s="2">
        <v>23.8</v>
      </c>
      <c r="E176" s="2">
        <v>23.93</v>
      </c>
      <c r="F176" s="2">
        <v>22.68</v>
      </c>
      <c r="G176" s="3">
        <v>46891700</v>
      </c>
    </row>
    <row r="177" spans="1:7" x14ac:dyDescent="0.3">
      <c r="A177" s="1">
        <v>45777</v>
      </c>
      <c r="B177" s="2">
        <v>24.2</v>
      </c>
      <c r="C177" s="2">
        <v>24.44</v>
      </c>
      <c r="D177" s="2">
        <v>23.98</v>
      </c>
      <c r="E177" s="2">
        <v>24.41</v>
      </c>
      <c r="F177" s="2">
        <v>23.14</v>
      </c>
      <c r="G177" s="3">
        <v>53941700</v>
      </c>
    </row>
    <row r="178" spans="1:7" x14ac:dyDescent="0.3">
      <c r="A178" s="1">
        <v>45776</v>
      </c>
      <c r="B178" s="2">
        <v>22.83</v>
      </c>
      <c r="C178" s="2">
        <v>24.12</v>
      </c>
      <c r="D178" s="2">
        <v>22.46</v>
      </c>
      <c r="E178" s="2">
        <v>23.79</v>
      </c>
      <c r="F178" s="2">
        <v>22.55</v>
      </c>
      <c r="G178" s="3">
        <v>98540200</v>
      </c>
    </row>
    <row r="179" spans="1:7" x14ac:dyDescent="0.3">
      <c r="A179" s="1">
        <v>45775</v>
      </c>
      <c r="B179" s="2">
        <v>23.03</v>
      </c>
      <c r="C179" s="2">
        <v>23.29</v>
      </c>
      <c r="D179" s="2">
        <v>22.9</v>
      </c>
      <c r="E179" s="2">
        <v>23.05</v>
      </c>
      <c r="F179" s="2">
        <v>21.85</v>
      </c>
      <c r="G179" s="3">
        <v>55888900</v>
      </c>
    </row>
    <row r="180" spans="1:7" x14ac:dyDescent="0.3">
      <c r="A180" s="1">
        <v>45772</v>
      </c>
      <c r="B180" s="2">
        <v>22.77</v>
      </c>
      <c r="C180" s="2">
        <v>23.11</v>
      </c>
      <c r="D180" s="2">
        <v>22.48</v>
      </c>
      <c r="E180" s="2">
        <v>22.92</v>
      </c>
      <c r="F180" s="2">
        <v>21.73</v>
      </c>
      <c r="G180" s="3">
        <v>35847700</v>
      </c>
    </row>
    <row r="181" spans="1:7" x14ac:dyDescent="0.3">
      <c r="A181" s="1">
        <v>45771</v>
      </c>
      <c r="B181" s="2">
        <v>22.4</v>
      </c>
      <c r="C181" s="2">
        <v>22.86</v>
      </c>
      <c r="D181" s="2">
        <v>22.23</v>
      </c>
      <c r="E181" s="2">
        <v>22.78</v>
      </c>
      <c r="F181" s="2">
        <v>21.59</v>
      </c>
      <c r="G181" s="3">
        <v>35009600</v>
      </c>
    </row>
    <row r="182" spans="1:7" x14ac:dyDescent="0.3">
      <c r="A182" s="1">
        <v>45770</v>
      </c>
      <c r="B182" s="2">
        <v>22.78</v>
      </c>
      <c r="C182" s="2">
        <v>23.06</v>
      </c>
      <c r="D182" s="2">
        <v>22.24</v>
      </c>
      <c r="E182" s="2">
        <v>22.39</v>
      </c>
      <c r="F182" s="2">
        <v>21.22</v>
      </c>
      <c r="G182" s="3">
        <v>50781000</v>
      </c>
    </row>
    <row r="183" spans="1:7" x14ac:dyDescent="0.3">
      <c r="A183" s="1">
        <v>45769</v>
      </c>
      <c r="B183" s="2">
        <v>22.18</v>
      </c>
      <c r="C183" s="2">
        <v>22.55</v>
      </c>
      <c r="D183" s="2">
        <v>22.15</v>
      </c>
      <c r="E183" s="2">
        <v>22.53</v>
      </c>
      <c r="F183" s="2">
        <v>21.36</v>
      </c>
      <c r="G183" s="3">
        <v>36052600</v>
      </c>
    </row>
    <row r="184" spans="1:7" x14ac:dyDescent="0.3">
      <c r="A184" s="1">
        <v>45768</v>
      </c>
      <c r="B184" s="2">
        <v>22.13</v>
      </c>
      <c r="C184" s="2">
        <v>22.17</v>
      </c>
      <c r="D184" s="2">
        <v>21.87</v>
      </c>
      <c r="E184" s="2">
        <v>22.04</v>
      </c>
      <c r="F184" s="2">
        <v>20.89</v>
      </c>
      <c r="G184" s="3">
        <v>32021000</v>
      </c>
    </row>
    <row r="185" spans="1:7" x14ac:dyDescent="0.3">
      <c r="A185" s="1">
        <v>45764</v>
      </c>
      <c r="B185" s="2">
        <v>22.15</v>
      </c>
      <c r="C185" s="2">
        <v>22.55</v>
      </c>
      <c r="D185" s="2">
        <v>22.1</v>
      </c>
      <c r="E185" s="2">
        <v>22.14</v>
      </c>
      <c r="F185" s="2">
        <v>20.99</v>
      </c>
      <c r="G185" s="3">
        <v>54073700</v>
      </c>
    </row>
    <row r="186" spans="1:7" x14ac:dyDescent="0.3">
      <c r="A186" s="1">
        <v>45763</v>
      </c>
      <c r="B186" s="2">
        <v>22.49</v>
      </c>
      <c r="C186" s="2">
        <v>22.68</v>
      </c>
      <c r="D186" s="2">
        <v>21.95</v>
      </c>
      <c r="E186" s="2">
        <v>22.04</v>
      </c>
      <c r="F186" s="2">
        <v>20.89</v>
      </c>
      <c r="G186" s="3">
        <v>37641200</v>
      </c>
    </row>
    <row r="187" spans="1:7" x14ac:dyDescent="0.3">
      <c r="A187" s="1">
        <v>45762</v>
      </c>
      <c r="B187" s="2">
        <v>22.17</v>
      </c>
      <c r="C187" s="2">
        <v>22.93</v>
      </c>
      <c r="D187" s="2">
        <v>22.13</v>
      </c>
      <c r="E187" s="2">
        <v>22.44</v>
      </c>
      <c r="F187" s="2">
        <v>21.27</v>
      </c>
      <c r="G187" s="3">
        <v>51814700</v>
      </c>
    </row>
    <row r="188" spans="1:7" x14ac:dyDescent="0.3">
      <c r="A188" s="1">
        <v>45761</v>
      </c>
      <c r="B188" s="2">
        <v>22.08</v>
      </c>
      <c r="C188" s="2">
        <v>22.23</v>
      </c>
      <c r="D188" s="2">
        <v>21.87</v>
      </c>
      <c r="E188" s="2">
        <v>22.12</v>
      </c>
      <c r="F188" s="2">
        <v>20.97</v>
      </c>
      <c r="G188" s="3">
        <v>61900900</v>
      </c>
    </row>
    <row r="189" spans="1:7" x14ac:dyDescent="0.3">
      <c r="A189" s="1">
        <v>45758</v>
      </c>
      <c r="B189" s="2">
        <v>21.59</v>
      </c>
      <c r="C189" s="2">
        <v>22</v>
      </c>
      <c r="D189" s="2">
        <v>21.28</v>
      </c>
      <c r="E189" s="2">
        <v>21.91</v>
      </c>
      <c r="F189" s="2">
        <v>20.77</v>
      </c>
      <c r="G189" s="3">
        <v>55078100</v>
      </c>
    </row>
    <row r="190" spans="1:7" x14ac:dyDescent="0.3">
      <c r="A190" s="1">
        <v>45757</v>
      </c>
      <c r="B190" s="2">
        <v>22.26</v>
      </c>
      <c r="C190" s="2">
        <v>22.27</v>
      </c>
      <c r="D190" s="2">
        <v>21.09</v>
      </c>
      <c r="E190" s="2">
        <v>21.59</v>
      </c>
      <c r="F190" s="2">
        <v>20.47</v>
      </c>
      <c r="G190" s="3">
        <v>72960700</v>
      </c>
    </row>
    <row r="191" spans="1:7" x14ac:dyDescent="0.3">
      <c r="A191" s="1">
        <v>45756</v>
      </c>
      <c r="B191" s="2">
        <v>21.11</v>
      </c>
      <c r="C191" s="2">
        <v>22.54</v>
      </c>
      <c r="D191" s="2">
        <v>20.92</v>
      </c>
      <c r="E191" s="2">
        <v>22.49</v>
      </c>
      <c r="F191" s="2">
        <v>21.32</v>
      </c>
      <c r="G191" s="3">
        <v>95954400</v>
      </c>
    </row>
    <row r="192" spans="1:7" x14ac:dyDescent="0.3">
      <c r="A192" s="1">
        <v>45755</v>
      </c>
      <c r="B192" s="2">
        <v>22.9</v>
      </c>
      <c r="C192" s="2">
        <v>22.99</v>
      </c>
      <c r="D192" s="2">
        <v>21.44</v>
      </c>
      <c r="E192" s="2">
        <v>21.84</v>
      </c>
      <c r="F192" s="2">
        <v>20.7</v>
      </c>
      <c r="G192" s="3">
        <v>72406000</v>
      </c>
    </row>
    <row r="193" spans="1:7" x14ac:dyDescent="0.3">
      <c r="A193" s="1">
        <v>45754</v>
      </c>
      <c r="B193" s="2">
        <v>22.14</v>
      </c>
      <c r="C193" s="2">
        <v>23.16</v>
      </c>
      <c r="D193" s="2">
        <v>21.75</v>
      </c>
      <c r="E193" s="2">
        <v>22.63</v>
      </c>
      <c r="F193" s="2">
        <v>21.45</v>
      </c>
      <c r="G193" s="3">
        <v>86106100</v>
      </c>
    </row>
    <row r="194" spans="1:7" x14ac:dyDescent="0.3">
      <c r="A194" s="1">
        <v>45751</v>
      </c>
      <c r="B194" s="2">
        <v>23.94</v>
      </c>
      <c r="C194" s="2">
        <v>24.1</v>
      </c>
      <c r="D194" s="2">
        <v>22.95</v>
      </c>
      <c r="E194" s="2">
        <v>22.97</v>
      </c>
      <c r="F194" s="2">
        <v>21.77</v>
      </c>
      <c r="G194" s="3">
        <v>80002600</v>
      </c>
    </row>
    <row r="195" spans="1:7" x14ac:dyDescent="0.3">
      <c r="A195" s="1">
        <v>45750</v>
      </c>
      <c r="B195" s="2">
        <v>24.74</v>
      </c>
      <c r="C195" s="2">
        <v>24.87</v>
      </c>
      <c r="D195" s="2">
        <v>24.28</v>
      </c>
      <c r="E195" s="2">
        <v>24.29</v>
      </c>
      <c r="F195" s="2">
        <v>23.03</v>
      </c>
      <c r="G195" s="3">
        <v>53501800</v>
      </c>
    </row>
    <row r="196" spans="1:7" x14ac:dyDescent="0.3">
      <c r="A196" s="1">
        <v>45749</v>
      </c>
      <c r="B196" s="2">
        <v>24.5</v>
      </c>
      <c r="C196" s="2">
        <v>24.74</v>
      </c>
      <c r="D196" s="2">
        <v>24.31</v>
      </c>
      <c r="E196" s="2">
        <v>24.7</v>
      </c>
      <c r="F196" s="2">
        <v>23.41</v>
      </c>
      <c r="G196" s="3">
        <v>41965000</v>
      </c>
    </row>
    <row r="197" spans="1:7" x14ac:dyDescent="0.3">
      <c r="A197" s="1">
        <v>45748</v>
      </c>
      <c r="B197" s="2">
        <v>25.29</v>
      </c>
      <c r="C197" s="2">
        <v>25.35</v>
      </c>
      <c r="D197" s="2">
        <v>24.52</v>
      </c>
      <c r="E197" s="2">
        <v>24.54</v>
      </c>
      <c r="F197" s="2">
        <v>23.26</v>
      </c>
      <c r="G197" s="3">
        <v>54444200</v>
      </c>
    </row>
    <row r="198" spans="1:7" x14ac:dyDescent="0.3">
      <c r="A198" s="1">
        <v>45747</v>
      </c>
      <c r="B198" s="2">
        <v>24.8</v>
      </c>
      <c r="C198" s="2">
        <v>25.43</v>
      </c>
      <c r="D198" s="2">
        <v>24.61</v>
      </c>
      <c r="E198" s="2">
        <v>25.34</v>
      </c>
      <c r="F198" s="2">
        <v>24.02</v>
      </c>
      <c r="G198" s="3">
        <v>53498100</v>
      </c>
    </row>
    <row r="199" spans="1:7" x14ac:dyDescent="0.3">
      <c r="A199" s="1">
        <v>45744</v>
      </c>
      <c r="B199" s="2">
        <v>25.03</v>
      </c>
      <c r="C199" s="2">
        <v>25.22</v>
      </c>
      <c r="D199" s="2">
        <v>24.81</v>
      </c>
      <c r="E199" s="2">
        <v>25.21</v>
      </c>
      <c r="F199" s="2">
        <v>23.9</v>
      </c>
      <c r="G199" s="3">
        <v>32352500</v>
      </c>
    </row>
    <row r="200" spans="1:7" x14ac:dyDescent="0.3">
      <c r="A200" s="1">
        <v>45743</v>
      </c>
      <c r="B200" s="2">
        <v>25.2</v>
      </c>
      <c r="C200" s="2">
        <v>25.23</v>
      </c>
      <c r="D200" s="2">
        <v>24.83</v>
      </c>
      <c r="E200" s="2">
        <v>25.01</v>
      </c>
      <c r="F200" s="2">
        <v>23.71</v>
      </c>
      <c r="G200" s="3">
        <v>51302000</v>
      </c>
    </row>
    <row r="201" spans="1:7" x14ac:dyDescent="0.3">
      <c r="A201" s="1">
        <v>45742</v>
      </c>
      <c r="B201" s="2">
        <v>25.52</v>
      </c>
      <c r="C201" s="2">
        <v>25.65</v>
      </c>
      <c r="D201" s="2">
        <v>25.13</v>
      </c>
      <c r="E201" s="2">
        <v>25.21</v>
      </c>
      <c r="F201" s="2">
        <v>23.9</v>
      </c>
      <c r="G201" s="3">
        <v>49487400</v>
      </c>
    </row>
    <row r="202" spans="1:7" x14ac:dyDescent="0.3">
      <c r="A202" s="1">
        <v>45741</v>
      </c>
      <c r="B202" s="2">
        <v>26.16</v>
      </c>
      <c r="C202" s="2">
        <v>26.2</v>
      </c>
      <c r="D202" s="2">
        <v>25.51</v>
      </c>
      <c r="E202" s="2">
        <v>25.55</v>
      </c>
      <c r="F202" s="2">
        <v>24.22</v>
      </c>
      <c r="G202" s="3">
        <v>47607600</v>
      </c>
    </row>
    <row r="203" spans="1:7" x14ac:dyDescent="0.3">
      <c r="A203" s="1">
        <v>45740</v>
      </c>
      <c r="B203" s="2">
        <v>26.1</v>
      </c>
      <c r="C203" s="2">
        <v>26.22</v>
      </c>
      <c r="D203" s="2">
        <v>25.89</v>
      </c>
      <c r="E203" s="2">
        <v>26.14</v>
      </c>
      <c r="F203" s="2">
        <v>24.78</v>
      </c>
      <c r="G203" s="3">
        <v>37944400</v>
      </c>
    </row>
    <row r="204" spans="1:7" x14ac:dyDescent="0.3">
      <c r="A204" s="1">
        <v>45737</v>
      </c>
      <c r="B204" s="2">
        <v>26.13</v>
      </c>
      <c r="C204" s="2">
        <v>26.52</v>
      </c>
      <c r="D204" s="2">
        <v>26.01</v>
      </c>
      <c r="E204" s="2">
        <v>26.28</v>
      </c>
      <c r="F204" s="2">
        <v>24.91</v>
      </c>
      <c r="G204" s="3">
        <v>349996500</v>
      </c>
    </row>
    <row r="205" spans="1:7" x14ac:dyDescent="0.3">
      <c r="A205" s="1">
        <v>45736</v>
      </c>
      <c r="B205" s="2">
        <v>26.25</v>
      </c>
      <c r="C205" s="2">
        <v>26.3</v>
      </c>
      <c r="D205" s="2">
        <v>26.02</v>
      </c>
      <c r="E205" s="2">
        <v>26.19</v>
      </c>
      <c r="F205" s="2">
        <v>24.83</v>
      </c>
      <c r="G205" s="3">
        <v>35378900</v>
      </c>
    </row>
    <row r="206" spans="1:7" x14ac:dyDescent="0.3">
      <c r="A206" s="1">
        <v>45735</v>
      </c>
      <c r="B206" s="2">
        <v>26.33</v>
      </c>
      <c r="C206" s="2">
        <v>26.5</v>
      </c>
      <c r="D206" s="2">
        <v>26.08</v>
      </c>
      <c r="E206" s="2">
        <v>26.21</v>
      </c>
      <c r="F206" s="2">
        <v>24.85</v>
      </c>
      <c r="G206" s="3">
        <v>42522700</v>
      </c>
    </row>
    <row r="207" spans="1:7" x14ac:dyDescent="0.3">
      <c r="A207" s="1">
        <v>45734</v>
      </c>
      <c r="B207" s="2">
        <v>26.21</v>
      </c>
      <c r="C207" s="2">
        <v>26.4</v>
      </c>
      <c r="D207" s="2">
        <v>26.1</v>
      </c>
      <c r="E207" s="2">
        <v>26.31</v>
      </c>
      <c r="F207" s="2">
        <v>24.94</v>
      </c>
      <c r="G207" s="3">
        <v>32958700</v>
      </c>
    </row>
    <row r="208" spans="1:7" x14ac:dyDescent="0.3">
      <c r="A208" s="1">
        <v>45733</v>
      </c>
      <c r="B208" s="2">
        <v>25.74</v>
      </c>
      <c r="C208" s="2">
        <v>26.15</v>
      </c>
      <c r="D208" s="2">
        <v>25.59</v>
      </c>
      <c r="E208" s="2">
        <v>26.05</v>
      </c>
      <c r="F208" s="2">
        <v>24.69</v>
      </c>
      <c r="G208" s="3">
        <v>32676900</v>
      </c>
    </row>
    <row r="209" spans="1:7" x14ac:dyDescent="0.3">
      <c r="A209" s="1">
        <v>45730</v>
      </c>
      <c r="B209" s="2">
        <v>25.62</v>
      </c>
      <c r="C209" s="2">
        <v>25.76</v>
      </c>
      <c r="D209" s="2">
        <v>25.5</v>
      </c>
      <c r="E209" s="2">
        <v>25.72</v>
      </c>
      <c r="F209" s="2">
        <v>24.38</v>
      </c>
      <c r="G209" s="3">
        <v>30298300</v>
      </c>
    </row>
    <row r="210" spans="1:7" x14ac:dyDescent="0.3">
      <c r="A210" s="1">
        <v>45729</v>
      </c>
      <c r="B210" s="2">
        <v>25.76</v>
      </c>
      <c r="C210" s="2">
        <v>26.07</v>
      </c>
      <c r="D210" s="2">
        <v>25.53</v>
      </c>
      <c r="E210" s="2">
        <v>25.6</v>
      </c>
      <c r="F210" s="2">
        <v>24.27</v>
      </c>
      <c r="G210" s="3">
        <v>36717900</v>
      </c>
    </row>
    <row r="211" spans="1:7" x14ac:dyDescent="0.3">
      <c r="A211" s="1">
        <v>45728</v>
      </c>
      <c r="B211" s="2">
        <v>25.94</v>
      </c>
      <c r="C211" s="2">
        <v>25.97</v>
      </c>
      <c r="D211" s="2">
        <v>25.5</v>
      </c>
      <c r="E211" s="2">
        <v>25.71</v>
      </c>
      <c r="F211" s="2">
        <v>24.37</v>
      </c>
      <c r="G211" s="3">
        <v>37331000</v>
      </c>
    </row>
    <row r="212" spans="1:7" x14ac:dyDescent="0.3">
      <c r="A212" s="1">
        <v>45727</v>
      </c>
      <c r="B212" s="2">
        <v>26.57</v>
      </c>
      <c r="C212" s="2">
        <v>26.62</v>
      </c>
      <c r="D212" s="2">
        <v>25.87</v>
      </c>
      <c r="E212" s="2">
        <v>25.99</v>
      </c>
      <c r="F212" s="2">
        <v>24.64</v>
      </c>
      <c r="G212" s="3">
        <v>44841400</v>
      </c>
    </row>
    <row r="213" spans="1:7" x14ac:dyDescent="0.3">
      <c r="A213" s="1">
        <v>45726</v>
      </c>
      <c r="B213" s="2">
        <v>26.64</v>
      </c>
      <c r="C213" s="2">
        <v>27.24</v>
      </c>
      <c r="D213" s="2">
        <v>26.54</v>
      </c>
      <c r="E213" s="2">
        <v>26.64</v>
      </c>
      <c r="F213" s="2">
        <v>25.25</v>
      </c>
      <c r="G213" s="3">
        <v>53013500</v>
      </c>
    </row>
    <row r="214" spans="1:7" x14ac:dyDescent="0.3">
      <c r="A214" s="1">
        <v>45723</v>
      </c>
      <c r="B214" s="2">
        <v>26.4</v>
      </c>
      <c r="C214" s="2">
        <v>26.89</v>
      </c>
      <c r="D214" s="2">
        <v>26.18</v>
      </c>
      <c r="E214" s="2">
        <v>26.73</v>
      </c>
      <c r="F214" s="2">
        <v>25.34</v>
      </c>
      <c r="G214" s="3">
        <v>54337700</v>
      </c>
    </row>
    <row r="215" spans="1:7" x14ac:dyDescent="0.3">
      <c r="A215" s="1">
        <v>45722</v>
      </c>
      <c r="B215" s="2">
        <v>25.93</v>
      </c>
      <c r="C215" s="2">
        <v>26.46</v>
      </c>
      <c r="D215" s="2">
        <v>25.9</v>
      </c>
      <c r="E215" s="2">
        <v>26.24</v>
      </c>
      <c r="F215" s="2">
        <v>24.87</v>
      </c>
      <c r="G215" s="3">
        <v>46998300</v>
      </c>
    </row>
    <row r="216" spans="1:7" x14ac:dyDescent="0.3">
      <c r="A216" s="1">
        <v>45721</v>
      </c>
      <c r="B216" s="2">
        <v>25.7</v>
      </c>
      <c r="C216" s="2">
        <v>26.18</v>
      </c>
      <c r="D216" s="2">
        <v>25.66</v>
      </c>
      <c r="E216" s="2">
        <v>25.94</v>
      </c>
      <c r="F216" s="2">
        <v>24.59</v>
      </c>
      <c r="G216" s="3">
        <v>37062400</v>
      </c>
    </row>
    <row r="217" spans="1:7" x14ac:dyDescent="0.3">
      <c r="A217" s="1">
        <v>45720</v>
      </c>
      <c r="B217" s="2">
        <v>26.25</v>
      </c>
      <c r="C217" s="2">
        <v>26.31</v>
      </c>
      <c r="D217" s="2">
        <v>25.67</v>
      </c>
      <c r="E217" s="2">
        <v>25.75</v>
      </c>
      <c r="F217" s="2">
        <v>24.41</v>
      </c>
      <c r="G217" s="3">
        <v>51315000</v>
      </c>
    </row>
    <row r="218" spans="1:7" x14ac:dyDescent="0.3">
      <c r="A218" s="1">
        <v>45719</v>
      </c>
      <c r="B218" s="2">
        <v>26.37</v>
      </c>
      <c r="C218" s="2">
        <v>26.9</v>
      </c>
      <c r="D218" s="2">
        <v>25.97</v>
      </c>
      <c r="E218" s="2">
        <v>26.25</v>
      </c>
      <c r="F218" s="2">
        <v>24.88</v>
      </c>
      <c r="G218" s="3">
        <v>54048600</v>
      </c>
    </row>
    <row r="219" spans="1:7" x14ac:dyDescent="0.3">
      <c r="A219" s="1">
        <v>45716</v>
      </c>
      <c r="B219" s="2">
        <v>26.06</v>
      </c>
      <c r="C219" s="2">
        <v>26.49</v>
      </c>
      <c r="D219" s="2">
        <v>25.91</v>
      </c>
      <c r="E219" s="2">
        <v>26.43</v>
      </c>
      <c r="F219" s="2">
        <v>25.05</v>
      </c>
      <c r="G219" s="3">
        <v>51531700</v>
      </c>
    </row>
    <row r="220" spans="1:7" x14ac:dyDescent="0.3">
      <c r="A220" s="1">
        <v>45715</v>
      </c>
      <c r="B220" s="2">
        <v>26.29</v>
      </c>
      <c r="C220" s="2">
        <v>26.5</v>
      </c>
      <c r="D220" s="2">
        <v>26.01</v>
      </c>
      <c r="E220" s="2">
        <v>26.1</v>
      </c>
      <c r="F220" s="2">
        <v>24.74</v>
      </c>
      <c r="G220" s="3">
        <v>28268300</v>
      </c>
    </row>
    <row r="221" spans="1:7" x14ac:dyDescent="0.3">
      <c r="A221" s="1">
        <v>45714</v>
      </c>
      <c r="B221" s="2">
        <v>26.68</v>
      </c>
      <c r="C221" s="2">
        <v>26.78</v>
      </c>
      <c r="D221" s="2">
        <v>26.35</v>
      </c>
      <c r="E221" s="2">
        <v>26.42</v>
      </c>
      <c r="F221" s="2">
        <v>25.04</v>
      </c>
      <c r="G221" s="3">
        <v>30103300</v>
      </c>
    </row>
    <row r="222" spans="1:7" x14ac:dyDescent="0.3">
      <c r="A222" s="1">
        <v>45713</v>
      </c>
      <c r="B222" s="2">
        <v>26.72</v>
      </c>
      <c r="C222" s="2">
        <v>27.03</v>
      </c>
      <c r="D222" s="2">
        <v>26.54</v>
      </c>
      <c r="E222" s="2">
        <v>26.74</v>
      </c>
      <c r="F222" s="2">
        <v>25.35</v>
      </c>
      <c r="G222" s="3">
        <v>43560100</v>
      </c>
    </row>
    <row r="223" spans="1:7" x14ac:dyDescent="0.3">
      <c r="A223" s="1">
        <v>45712</v>
      </c>
      <c r="B223" s="2">
        <v>26.4</v>
      </c>
      <c r="C223" s="2">
        <v>26.74</v>
      </c>
      <c r="D223" s="2">
        <v>25.88</v>
      </c>
      <c r="E223" s="2">
        <v>26.65</v>
      </c>
      <c r="F223" s="2">
        <v>25.26</v>
      </c>
      <c r="G223" s="3">
        <v>43823300</v>
      </c>
    </row>
    <row r="224" spans="1:7" x14ac:dyDescent="0.3">
      <c r="A224" s="1">
        <v>45709</v>
      </c>
      <c r="B224" s="2">
        <v>25.89</v>
      </c>
      <c r="C224" s="2">
        <v>26.57</v>
      </c>
      <c r="D224" s="2">
        <v>25.85</v>
      </c>
      <c r="E224" s="2">
        <v>26.3</v>
      </c>
      <c r="F224" s="2">
        <v>24.93</v>
      </c>
      <c r="G224" s="3">
        <v>54611500</v>
      </c>
    </row>
    <row r="225" spans="1:7" x14ac:dyDescent="0.3">
      <c r="A225" s="1">
        <v>45708</v>
      </c>
      <c r="B225" s="2">
        <v>25.86</v>
      </c>
      <c r="C225" s="2">
        <v>26.08</v>
      </c>
      <c r="D225" s="2">
        <v>25.75</v>
      </c>
      <c r="E225" s="2">
        <v>25.9</v>
      </c>
      <c r="F225" s="2">
        <v>24.55</v>
      </c>
      <c r="G225" s="3">
        <v>37139000</v>
      </c>
    </row>
    <row r="226" spans="1:7" x14ac:dyDescent="0.3">
      <c r="A226" s="1">
        <v>45707</v>
      </c>
      <c r="B226" s="2">
        <v>25.57</v>
      </c>
      <c r="C226" s="2">
        <v>25.92</v>
      </c>
      <c r="D226" s="2">
        <v>25.5</v>
      </c>
      <c r="E226" s="2">
        <v>25.89</v>
      </c>
      <c r="F226" s="2">
        <v>24.54</v>
      </c>
      <c r="G226" s="3">
        <v>37292400</v>
      </c>
    </row>
    <row r="227" spans="1:7" x14ac:dyDescent="0.3">
      <c r="A227" s="1">
        <v>45706</v>
      </c>
      <c r="B227" s="2">
        <v>25.61</v>
      </c>
      <c r="C227" s="2">
        <v>25.74</v>
      </c>
      <c r="D227" s="2">
        <v>25.42</v>
      </c>
      <c r="E227" s="2">
        <v>25.56</v>
      </c>
      <c r="F227" s="2">
        <v>24.23</v>
      </c>
      <c r="G227" s="3">
        <v>40499700</v>
      </c>
    </row>
    <row r="228" spans="1:7" x14ac:dyDescent="0.3">
      <c r="A228" s="1">
        <v>45702</v>
      </c>
      <c r="B228" s="2">
        <v>25.73</v>
      </c>
      <c r="C228" s="2">
        <v>25.83</v>
      </c>
      <c r="D228" s="2">
        <v>25.47</v>
      </c>
      <c r="E228" s="2">
        <v>25.53</v>
      </c>
      <c r="F228" s="2">
        <v>24.2</v>
      </c>
      <c r="G228" s="3">
        <v>33214600</v>
      </c>
    </row>
    <row r="229" spans="1:7" x14ac:dyDescent="0.3">
      <c r="A229" s="1">
        <v>45701</v>
      </c>
      <c r="B229" s="2">
        <v>25.49</v>
      </c>
      <c r="C229" s="2">
        <v>25.74</v>
      </c>
      <c r="D229" s="2">
        <v>25.33</v>
      </c>
      <c r="E229" s="2">
        <v>25.64</v>
      </c>
      <c r="F229" s="2">
        <v>24.31</v>
      </c>
      <c r="G229" s="3">
        <v>30612500</v>
      </c>
    </row>
    <row r="230" spans="1:7" x14ac:dyDescent="0.3">
      <c r="A230" s="1">
        <v>45700</v>
      </c>
      <c r="B230" s="2">
        <v>25.48</v>
      </c>
      <c r="C230" s="2">
        <v>25.62</v>
      </c>
      <c r="D230" s="2">
        <v>25.17</v>
      </c>
      <c r="E230" s="2">
        <v>25.47</v>
      </c>
      <c r="F230" s="2">
        <v>24.14</v>
      </c>
      <c r="G230" s="3">
        <v>31671600</v>
      </c>
    </row>
    <row r="231" spans="1:7" x14ac:dyDescent="0.3">
      <c r="A231" s="1">
        <v>45699</v>
      </c>
      <c r="B231" s="2">
        <v>25.83</v>
      </c>
      <c r="C231" s="2">
        <v>25.91</v>
      </c>
      <c r="D231" s="2">
        <v>25.46</v>
      </c>
      <c r="E231" s="2">
        <v>25.53</v>
      </c>
      <c r="F231" s="2">
        <v>24.2</v>
      </c>
      <c r="G231" s="3">
        <v>36593300</v>
      </c>
    </row>
    <row r="232" spans="1:7" x14ac:dyDescent="0.3">
      <c r="A232" s="1">
        <v>45698</v>
      </c>
      <c r="B232" s="2">
        <v>25.78</v>
      </c>
      <c r="C232" s="2">
        <v>26.12</v>
      </c>
      <c r="D232" s="2">
        <v>25.51</v>
      </c>
      <c r="E232" s="2">
        <v>25.87</v>
      </c>
      <c r="F232" s="2">
        <v>24.52</v>
      </c>
      <c r="G232" s="3">
        <v>39632700</v>
      </c>
    </row>
    <row r="233" spans="1:7" x14ac:dyDescent="0.3">
      <c r="A233" s="1">
        <v>45695</v>
      </c>
      <c r="B233" s="2">
        <v>25.86</v>
      </c>
      <c r="C233" s="2">
        <v>25.96</v>
      </c>
      <c r="D233" s="2">
        <v>25.53</v>
      </c>
      <c r="E233" s="2">
        <v>25.74</v>
      </c>
      <c r="F233" s="2">
        <v>24.4</v>
      </c>
      <c r="G233" s="3">
        <v>36512800</v>
      </c>
    </row>
    <row r="234" spans="1:7" x14ac:dyDescent="0.3">
      <c r="A234" s="1">
        <v>45694</v>
      </c>
      <c r="B234" s="2">
        <v>26.42</v>
      </c>
      <c r="C234" s="2">
        <v>26.47</v>
      </c>
      <c r="D234" s="2">
        <v>25.78</v>
      </c>
      <c r="E234" s="2">
        <v>25.83</v>
      </c>
      <c r="F234" s="2">
        <v>24.49</v>
      </c>
      <c r="G234" s="3">
        <v>45182000</v>
      </c>
    </row>
    <row r="235" spans="1:7" x14ac:dyDescent="0.3">
      <c r="A235" s="1">
        <v>45693</v>
      </c>
      <c r="B235" s="2">
        <v>25.95</v>
      </c>
      <c r="C235" s="2">
        <v>26.69</v>
      </c>
      <c r="D235" s="2">
        <v>25.7</v>
      </c>
      <c r="E235" s="2">
        <v>26.44</v>
      </c>
      <c r="F235" s="2">
        <v>25.06</v>
      </c>
      <c r="G235" s="3">
        <v>50426800</v>
      </c>
    </row>
    <row r="236" spans="1:7" x14ac:dyDescent="0.3">
      <c r="A236" s="1">
        <v>45692</v>
      </c>
      <c r="B236" s="2">
        <v>26.1</v>
      </c>
      <c r="C236" s="2">
        <v>26.92</v>
      </c>
      <c r="D236" s="2">
        <v>25.6</v>
      </c>
      <c r="E236" s="2">
        <v>25.87</v>
      </c>
      <c r="F236" s="2">
        <v>24.52</v>
      </c>
      <c r="G236" s="3">
        <v>68748300</v>
      </c>
    </row>
    <row r="237" spans="1:7" x14ac:dyDescent="0.3">
      <c r="A237" s="1">
        <v>45691</v>
      </c>
      <c r="B237" s="2">
        <v>26.3</v>
      </c>
      <c r="C237" s="2">
        <v>26.47</v>
      </c>
      <c r="D237" s="2">
        <v>26.15</v>
      </c>
      <c r="E237" s="2">
        <v>26.2</v>
      </c>
      <c r="F237" s="2">
        <v>24.84</v>
      </c>
      <c r="G237" s="3">
        <v>49626200</v>
      </c>
    </row>
    <row r="238" spans="1:7" x14ac:dyDescent="0.3">
      <c r="A238" s="1">
        <v>45688</v>
      </c>
      <c r="B238" s="2">
        <v>26.96</v>
      </c>
      <c r="C238" s="2">
        <v>27.01</v>
      </c>
      <c r="D238" s="2">
        <v>26.42</v>
      </c>
      <c r="E238" s="2">
        <v>26.52</v>
      </c>
      <c r="F238" s="2">
        <v>25.14</v>
      </c>
      <c r="G238" s="3">
        <v>37307000</v>
      </c>
    </row>
    <row r="239" spans="1:7" x14ac:dyDescent="0.3">
      <c r="A239" s="1">
        <v>45687</v>
      </c>
      <c r="B239" s="2">
        <v>26.66</v>
      </c>
      <c r="C239" s="2">
        <v>27.01</v>
      </c>
      <c r="D239" s="2">
        <v>26.58</v>
      </c>
      <c r="E239" s="2">
        <v>26.91</v>
      </c>
      <c r="F239" s="2">
        <v>25.51</v>
      </c>
      <c r="G239" s="3">
        <v>32289600</v>
      </c>
    </row>
    <row r="240" spans="1:7" x14ac:dyDescent="0.3">
      <c r="A240" s="1">
        <v>45686</v>
      </c>
      <c r="B240" s="2">
        <v>26.8</v>
      </c>
      <c r="C240" s="2">
        <v>27.07</v>
      </c>
      <c r="D240" s="2">
        <v>26.57</v>
      </c>
      <c r="E240" s="2">
        <v>26.62</v>
      </c>
      <c r="F240" s="2">
        <v>25.23</v>
      </c>
      <c r="G240" s="3">
        <v>34418200</v>
      </c>
    </row>
    <row r="241" spans="1:7" x14ac:dyDescent="0.3">
      <c r="A241" s="1">
        <v>45685</v>
      </c>
      <c r="B241" s="2">
        <v>26.78</v>
      </c>
      <c r="C241" s="2">
        <v>26.86</v>
      </c>
      <c r="D241" s="2">
        <v>26.49</v>
      </c>
      <c r="E241" s="2">
        <v>26.75</v>
      </c>
      <c r="F241" s="2">
        <v>25.36</v>
      </c>
      <c r="G241" s="3">
        <v>40589600</v>
      </c>
    </row>
    <row r="242" spans="1:7" x14ac:dyDescent="0.3">
      <c r="A242" s="1">
        <v>45684</v>
      </c>
      <c r="B242" s="2">
        <v>26.24</v>
      </c>
      <c r="C242" s="2">
        <v>26.97</v>
      </c>
      <c r="D242" s="2">
        <v>26.18</v>
      </c>
      <c r="E242" s="2">
        <v>26.86</v>
      </c>
      <c r="F242" s="2">
        <v>25.46</v>
      </c>
      <c r="G242" s="3">
        <v>50648600</v>
      </c>
    </row>
    <row r="243" spans="1:7" x14ac:dyDescent="0.3">
      <c r="A243" s="1">
        <v>45681</v>
      </c>
      <c r="B243" s="2">
        <v>26.02</v>
      </c>
      <c r="C243" s="2">
        <v>26.2</v>
      </c>
      <c r="D243" s="2">
        <v>25.96</v>
      </c>
      <c r="E243" s="2">
        <v>26.09</v>
      </c>
      <c r="F243" s="2">
        <v>24.73</v>
      </c>
      <c r="G243" s="3">
        <v>31300200</v>
      </c>
    </row>
    <row r="244" spans="1:7" x14ac:dyDescent="0.3">
      <c r="A244" s="1">
        <v>45680</v>
      </c>
      <c r="B244" s="2">
        <v>26.01</v>
      </c>
      <c r="C244" s="2">
        <v>26.48</v>
      </c>
      <c r="D244" s="2">
        <v>25.85</v>
      </c>
      <c r="E244" s="2">
        <v>26.44</v>
      </c>
      <c r="F244" s="2">
        <v>24.66</v>
      </c>
      <c r="G244" s="3">
        <v>40987000</v>
      </c>
    </row>
    <row r="245" spans="1:7" x14ac:dyDescent="0.3">
      <c r="A245" s="1">
        <v>45679</v>
      </c>
      <c r="B245" s="2">
        <v>26.51</v>
      </c>
      <c r="C245" s="2">
        <v>26.6</v>
      </c>
      <c r="D245" s="2">
        <v>25.97</v>
      </c>
      <c r="E245" s="2">
        <v>26.01</v>
      </c>
      <c r="F245" s="2">
        <v>24.26</v>
      </c>
      <c r="G245" s="3">
        <v>41890400</v>
      </c>
    </row>
    <row r="246" spans="1:7" x14ac:dyDescent="0.3">
      <c r="A246" s="1">
        <v>45678</v>
      </c>
      <c r="B246" s="2">
        <v>26.45</v>
      </c>
      <c r="C246" s="2">
        <v>26.64</v>
      </c>
      <c r="D246" s="2">
        <v>26.39</v>
      </c>
      <c r="E246" s="2">
        <v>26.64</v>
      </c>
      <c r="F246" s="2">
        <v>24.84</v>
      </c>
      <c r="G246" s="3">
        <v>39745600</v>
      </c>
    </row>
    <row r="247" spans="1:7" x14ac:dyDescent="0.3">
      <c r="A247" s="1">
        <v>45674</v>
      </c>
      <c r="B247" s="2">
        <v>26.4</v>
      </c>
      <c r="C247" s="2">
        <v>26.56</v>
      </c>
      <c r="D247" s="2">
        <v>26.22</v>
      </c>
      <c r="E247" s="2">
        <v>26.3</v>
      </c>
      <c r="F247" s="2">
        <v>24.53</v>
      </c>
      <c r="G247" s="3">
        <v>35380300</v>
      </c>
    </row>
    <row r="248" spans="1:7" x14ac:dyDescent="0.3">
      <c r="A248" s="1">
        <v>45673</v>
      </c>
      <c r="B248" s="2">
        <v>26.07</v>
      </c>
      <c r="C248" s="2">
        <v>26.57</v>
      </c>
      <c r="D248" s="2">
        <v>25.96</v>
      </c>
      <c r="E248" s="2">
        <v>26.49</v>
      </c>
      <c r="F248" s="2">
        <v>24.7</v>
      </c>
      <c r="G248" s="3">
        <v>29981100</v>
      </c>
    </row>
    <row r="249" spans="1:7" x14ac:dyDescent="0.3">
      <c r="A249" s="1">
        <v>45672</v>
      </c>
      <c r="B249" s="2">
        <v>26.52</v>
      </c>
      <c r="C249" s="2">
        <v>26.65</v>
      </c>
      <c r="D249" s="2">
        <v>26.21</v>
      </c>
      <c r="E249" s="2">
        <v>26.22</v>
      </c>
      <c r="F249" s="2">
        <v>24.45</v>
      </c>
      <c r="G249" s="3">
        <v>35949700</v>
      </c>
    </row>
    <row r="250" spans="1:7" x14ac:dyDescent="0.3">
      <c r="A250" s="1">
        <v>45671</v>
      </c>
      <c r="B250" s="2">
        <v>26.81</v>
      </c>
      <c r="C250" s="2">
        <v>26.87</v>
      </c>
      <c r="D250" s="2">
        <v>26.27</v>
      </c>
      <c r="E250" s="2">
        <v>26.41</v>
      </c>
      <c r="F250" s="2">
        <v>24.63</v>
      </c>
      <c r="G250" s="3">
        <v>25856900</v>
      </c>
    </row>
    <row r="251" spans="1:7" x14ac:dyDescent="0.3">
      <c r="A251" s="1">
        <v>45670</v>
      </c>
      <c r="B251" s="2">
        <v>26.65</v>
      </c>
      <c r="C251" s="2">
        <v>26.81</v>
      </c>
      <c r="D251" s="2">
        <v>26.36</v>
      </c>
      <c r="E251" s="2">
        <v>26.8</v>
      </c>
      <c r="F251" s="2">
        <v>24.99</v>
      </c>
      <c r="G251" s="3">
        <v>28359600</v>
      </c>
    </row>
    <row r="252" spans="1:7" x14ac:dyDescent="0.3">
      <c r="A252" s="1">
        <v>45667</v>
      </c>
      <c r="B252" s="2">
        <v>26.87</v>
      </c>
      <c r="C252" s="2">
        <v>27.05</v>
      </c>
      <c r="D252" s="2">
        <v>26.69</v>
      </c>
      <c r="E252" s="2">
        <v>26.72</v>
      </c>
      <c r="F252" s="2">
        <v>24.92</v>
      </c>
      <c r="G252" s="3">
        <v>32836900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52"/>
  <sheetViews>
    <sheetView workbookViewId="0">
      <selection activeCell="A253" sqref="A253"/>
    </sheetView>
  </sheetViews>
  <sheetFormatPr defaultRowHeight="14.4" x14ac:dyDescent="0.3"/>
  <cols>
    <col min="1" max="1" width="13.109375" customWidth="1"/>
    <col min="6" max="6" width="11.44140625" customWidth="1"/>
    <col min="7" max="7" width="14.109375" customWidth="1"/>
  </cols>
  <sheetData>
    <row r="1" spans="1:7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7" x14ac:dyDescent="0.3">
      <c r="A2" s="1">
        <v>46031</v>
      </c>
      <c r="B2" s="2">
        <v>141.69999999999999</v>
      </c>
      <c r="C2" s="2">
        <v>142.33000000000001</v>
      </c>
      <c r="D2" s="2">
        <v>140.83000000000001</v>
      </c>
      <c r="E2" s="2">
        <v>141.87</v>
      </c>
      <c r="F2" s="2">
        <v>141.87</v>
      </c>
      <c r="G2" s="3">
        <v>9522700</v>
      </c>
    </row>
    <row r="3" spans="1:7" x14ac:dyDescent="0.3">
      <c r="A3" s="1">
        <v>46030</v>
      </c>
      <c r="B3" s="2">
        <v>137.88999999999999</v>
      </c>
      <c r="C3" s="2">
        <v>141.78</v>
      </c>
      <c r="D3" s="2">
        <v>137.82</v>
      </c>
      <c r="E3" s="2">
        <v>141.53</v>
      </c>
      <c r="F3" s="2">
        <v>141.53</v>
      </c>
      <c r="G3" s="3">
        <v>9297100</v>
      </c>
    </row>
    <row r="4" spans="1:7" x14ac:dyDescent="0.3">
      <c r="A4" s="1">
        <v>46029</v>
      </c>
      <c r="B4" s="2">
        <v>139.80000000000001</v>
      </c>
      <c r="C4" s="2">
        <v>139.80000000000001</v>
      </c>
      <c r="D4" s="2">
        <v>137.62</v>
      </c>
      <c r="E4" s="2">
        <v>138.04</v>
      </c>
      <c r="F4" s="2">
        <v>138.04</v>
      </c>
      <c r="G4" s="3">
        <v>14369100</v>
      </c>
    </row>
    <row r="5" spans="1:7" x14ac:dyDescent="0.3">
      <c r="A5" s="1">
        <v>46028</v>
      </c>
      <c r="B5" s="2">
        <v>140.38999999999999</v>
      </c>
      <c r="C5" s="2">
        <v>141.41999999999999</v>
      </c>
      <c r="D5" s="2">
        <v>139.51</v>
      </c>
      <c r="E5" s="2">
        <v>139.91</v>
      </c>
      <c r="F5" s="2">
        <v>139.91</v>
      </c>
      <c r="G5" s="3">
        <v>10421800</v>
      </c>
    </row>
    <row r="6" spans="1:7" x14ac:dyDescent="0.3">
      <c r="A6" s="1">
        <v>46027</v>
      </c>
      <c r="B6" s="2">
        <v>141.1</v>
      </c>
      <c r="C6" s="2">
        <v>141.35</v>
      </c>
      <c r="D6" s="2">
        <v>139.6</v>
      </c>
      <c r="E6" s="2">
        <v>140.37</v>
      </c>
      <c r="F6" s="2">
        <v>140.37</v>
      </c>
      <c r="G6" s="3">
        <v>12297300</v>
      </c>
    </row>
    <row r="7" spans="1:7" x14ac:dyDescent="0.3">
      <c r="A7" s="1">
        <v>46024</v>
      </c>
      <c r="B7" s="2">
        <v>143.11000000000001</v>
      </c>
      <c r="C7" s="2">
        <v>143.34</v>
      </c>
      <c r="D7" s="2">
        <v>141.24</v>
      </c>
      <c r="E7" s="2">
        <v>141.79</v>
      </c>
      <c r="F7" s="2">
        <v>141.79</v>
      </c>
      <c r="G7" s="3">
        <v>8946100</v>
      </c>
    </row>
    <row r="8" spans="1:7" x14ac:dyDescent="0.3">
      <c r="A8" s="1">
        <v>46022</v>
      </c>
      <c r="B8" s="2">
        <v>144</v>
      </c>
      <c r="C8" s="2">
        <v>144.13999999999999</v>
      </c>
      <c r="D8" s="2">
        <v>143.22999999999999</v>
      </c>
      <c r="E8" s="2">
        <v>143.31</v>
      </c>
      <c r="F8" s="2">
        <v>143.31</v>
      </c>
      <c r="G8" s="3">
        <v>5293200</v>
      </c>
    </row>
    <row r="9" spans="1:7" x14ac:dyDescent="0.3">
      <c r="A9" s="1">
        <v>46021</v>
      </c>
      <c r="B9" s="2">
        <v>144.29</v>
      </c>
      <c r="C9" s="2">
        <v>144.46</v>
      </c>
      <c r="D9" s="2">
        <v>143.57</v>
      </c>
      <c r="E9" s="2">
        <v>144.05000000000001</v>
      </c>
      <c r="F9" s="2">
        <v>144.05000000000001</v>
      </c>
      <c r="G9" s="3">
        <v>6006400</v>
      </c>
    </row>
    <row r="10" spans="1:7" x14ac:dyDescent="0.3">
      <c r="A10" s="1">
        <v>46020</v>
      </c>
      <c r="B10" s="2">
        <v>144.80000000000001</v>
      </c>
      <c r="C10" s="2">
        <v>145.07</v>
      </c>
      <c r="D10" s="2">
        <v>143.94999999999999</v>
      </c>
      <c r="E10" s="2">
        <v>144.57</v>
      </c>
      <c r="F10" s="2">
        <v>144.57</v>
      </c>
      <c r="G10" s="3">
        <v>7662100</v>
      </c>
    </row>
    <row r="11" spans="1:7" x14ac:dyDescent="0.3">
      <c r="A11" s="1">
        <v>46017</v>
      </c>
      <c r="B11" s="2">
        <v>144.31</v>
      </c>
      <c r="C11" s="2">
        <v>145.63999999999999</v>
      </c>
      <c r="D11" s="2">
        <v>144.31</v>
      </c>
      <c r="E11" s="2">
        <v>144.74</v>
      </c>
      <c r="F11" s="2">
        <v>144.74</v>
      </c>
      <c r="G11" s="3">
        <v>4711500</v>
      </c>
    </row>
    <row r="12" spans="1:7" x14ac:dyDescent="0.3">
      <c r="A12" s="1">
        <v>46015</v>
      </c>
      <c r="B12" s="2">
        <v>142.9</v>
      </c>
      <c r="C12" s="2">
        <v>144.74</v>
      </c>
      <c r="D12" s="2">
        <v>142.83000000000001</v>
      </c>
      <c r="E12" s="2">
        <v>144.49</v>
      </c>
      <c r="F12" s="2">
        <v>144.49</v>
      </c>
      <c r="G12" s="3">
        <v>3259200</v>
      </c>
    </row>
    <row r="13" spans="1:7" x14ac:dyDescent="0.3">
      <c r="A13" s="1">
        <v>46014</v>
      </c>
      <c r="B13" s="2">
        <v>142.49</v>
      </c>
      <c r="C13" s="2">
        <v>143.72999999999999</v>
      </c>
      <c r="D13" s="2">
        <v>142.08000000000001</v>
      </c>
      <c r="E13" s="2">
        <v>143.18</v>
      </c>
      <c r="F13" s="2">
        <v>143.18</v>
      </c>
      <c r="G13" s="3">
        <v>9541600</v>
      </c>
    </row>
    <row r="14" spans="1:7" x14ac:dyDescent="0.3">
      <c r="A14" s="1">
        <v>46013</v>
      </c>
      <c r="B14" s="2">
        <v>143.71</v>
      </c>
      <c r="C14" s="2">
        <v>144.4</v>
      </c>
      <c r="D14" s="2">
        <v>142.41999999999999</v>
      </c>
      <c r="E14" s="2">
        <v>142.69</v>
      </c>
      <c r="F14" s="2">
        <v>142.69</v>
      </c>
      <c r="G14" s="3">
        <v>11731400</v>
      </c>
    </row>
    <row r="15" spans="1:7" x14ac:dyDescent="0.3">
      <c r="A15" s="1">
        <v>46010</v>
      </c>
      <c r="B15" s="2">
        <v>145.51</v>
      </c>
      <c r="C15" s="2">
        <v>146.05000000000001</v>
      </c>
      <c r="D15" s="2">
        <v>143.94</v>
      </c>
      <c r="E15" s="2">
        <v>144.46</v>
      </c>
      <c r="F15" s="2">
        <v>144.46</v>
      </c>
      <c r="G15" s="3">
        <v>19345600</v>
      </c>
    </row>
    <row r="16" spans="1:7" x14ac:dyDescent="0.3">
      <c r="A16" s="1">
        <v>46009</v>
      </c>
      <c r="B16" s="2">
        <v>146.62</v>
      </c>
      <c r="C16" s="2">
        <v>147.5</v>
      </c>
      <c r="D16" s="2">
        <v>145.35</v>
      </c>
      <c r="E16" s="2">
        <v>145.52000000000001</v>
      </c>
      <c r="F16" s="2">
        <v>145.52000000000001</v>
      </c>
      <c r="G16" s="3">
        <v>12239900</v>
      </c>
    </row>
    <row r="17" spans="1:7" x14ac:dyDescent="0.3">
      <c r="A17" s="1">
        <v>46008</v>
      </c>
      <c r="B17" s="2">
        <v>146.69</v>
      </c>
      <c r="C17" s="2">
        <v>148.44999999999999</v>
      </c>
      <c r="D17" s="2">
        <v>146.44999999999999</v>
      </c>
      <c r="E17" s="2">
        <v>147.81</v>
      </c>
      <c r="F17" s="2">
        <v>147.81</v>
      </c>
      <c r="G17" s="3">
        <v>9833300</v>
      </c>
    </row>
    <row r="18" spans="1:7" x14ac:dyDescent="0.3">
      <c r="A18" s="1">
        <v>46007</v>
      </c>
      <c r="B18" s="2">
        <v>146.1</v>
      </c>
      <c r="C18" s="2">
        <v>146.54</v>
      </c>
      <c r="D18" s="2">
        <v>144.65</v>
      </c>
      <c r="E18" s="2">
        <v>145.21</v>
      </c>
      <c r="F18" s="2">
        <v>145.21</v>
      </c>
      <c r="G18" s="3">
        <v>10251700</v>
      </c>
    </row>
    <row r="19" spans="1:7" x14ac:dyDescent="0.3">
      <c r="A19" s="1">
        <v>46006</v>
      </c>
      <c r="B19" s="2">
        <v>143.27000000000001</v>
      </c>
      <c r="C19" s="2">
        <v>145.32</v>
      </c>
      <c r="D19" s="2">
        <v>143.19999999999999</v>
      </c>
      <c r="E19" s="2">
        <v>145.13</v>
      </c>
      <c r="F19" s="2">
        <v>145.13</v>
      </c>
      <c r="G19" s="3">
        <v>13877700</v>
      </c>
    </row>
    <row r="20" spans="1:7" x14ac:dyDescent="0.3">
      <c r="A20" s="1">
        <v>46003</v>
      </c>
      <c r="B20" s="2">
        <v>141</v>
      </c>
      <c r="C20" s="2">
        <v>143.11000000000001</v>
      </c>
      <c r="D20" s="2">
        <v>140.84</v>
      </c>
      <c r="E20" s="2">
        <v>142.84</v>
      </c>
      <c r="F20" s="2">
        <v>142.84</v>
      </c>
      <c r="G20" s="3">
        <v>10268800</v>
      </c>
    </row>
    <row r="21" spans="1:7" x14ac:dyDescent="0.3">
      <c r="A21" s="1">
        <v>46002</v>
      </c>
      <c r="B21" s="2">
        <v>141</v>
      </c>
      <c r="C21" s="2">
        <v>141.84</v>
      </c>
      <c r="D21" s="2">
        <v>140.36000000000001</v>
      </c>
      <c r="E21" s="2">
        <v>140.76</v>
      </c>
      <c r="F21" s="2">
        <v>140.76</v>
      </c>
      <c r="G21" s="3">
        <v>11798000</v>
      </c>
    </row>
    <row r="22" spans="1:7" x14ac:dyDescent="0.3">
      <c r="A22" s="1">
        <v>46001</v>
      </c>
      <c r="B22" s="2">
        <v>139.65</v>
      </c>
      <c r="C22" s="2">
        <v>141.28</v>
      </c>
      <c r="D22" s="2">
        <v>139.54</v>
      </c>
      <c r="E22" s="2">
        <v>139.82</v>
      </c>
      <c r="F22" s="2">
        <v>139.82</v>
      </c>
      <c r="G22" s="3">
        <v>13650400</v>
      </c>
    </row>
    <row r="23" spans="1:7" x14ac:dyDescent="0.3">
      <c r="A23" s="1">
        <v>46000</v>
      </c>
      <c r="B23" s="2">
        <v>139.19</v>
      </c>
      <c r="C23" s="2">
        <v>140.88</v>
      </c>
      <c r="D23" s="2">
        <v>139</v>
      </c>
      <c r="E23" s="2">
        <v>139.63</v>
      </c>
      <c r="F23" s="2">
        <v>139.63</v>
      </c>
      <c r="G23" s="3">
        <v>10375700</v>
      </c>
    </row>
    <row r="24" spans="1:7" x14ac:dyDescent="0.3">
      <c r="A24" s="1">
        <v>45999</v>
      </c>
      <c r="B24" s="2">
        <v>142.91</v>
      </c>
      <c r="C24" s="2">
        <v>142.91</v>
      </c>
      <c r="D24" s="2">
        <v>138.13999999999999</v>
      </c>
      <c r="E24" s="2">
        <v>138.34</v>
      </c>
      <c r="F24" s="2">
        <v>138.34</v>
      </c>
      <c r="G24" s="3">
        <v>17507500</v>
      </c>
    </row>
    <row r="25" spans="1:7" x14ac:dyDescent="0.3">
      <c r="A25" s="1">
        <v>45996</v>
      </c>
      <c r="B25" s="2">
        <v>145.16</v>
      </c>
      <c r="C25" s="2">
        <v>145.63</v>
      </c>
      <c r="D25" s="2">
        <v>143.25</v>
      </c>
      <c r="E25" s="2">
        <v>143.44999999999999</v>
      </c>
      <c r="F25" s="2">
        <v>143.44999999999999</v>
      </c>
      <c r="G25" s="3">
        <v>12791700</v>
      </c>
    </row>
    <row r="26" spans="1:7" x14ac:dyDescent="0.3">
      <c r="A26" s="1">
        <v>45995</v>
      </c>
      <c r="B26" s="2">
        <v>146.66999999999999</v>
      </c>
      <c r="C26" s="2">
        <v>147.41999999999999</v>
      </c>
      <c r="D26" s="2">
        <v>144.5</v>
      </c>
      <c r="E26" s="2">
        <v>145.36000000000001</v>
      </c>
      <c r="F26" s="2">
        <v>145.36000000000001</v>
      </c>
      <c r="G26" s="3">
        <v>10479300</v>
      </c>
    </row>
    <row r="27" spans="1:7" x14ac:dyDescent="0.3">
      <c r="A27" s="1">
        <v>45994</v>
      </c>
      <c r="B27" s="2">
        <v>145.91999999999999</v>
      </c>
      <c r="C27" s="2">
        <v>148.29</v>
      </c>
      <c r="D27" s="2">
        <v>145.86000000000001</v>
      </c>
      <c r="E27" s="2">
        <v>146.71</v>
      </c>
      <c r="F27" s="2">
        <v>146.71</v>
      </c>
      <c r="G27" s="3">
        <v>9125300</v>
      </c>
    </row>
    <row r="28" spans="1:7" x14ac:dyDescent="0.3">
      <c r="A28" s="1">
        <v>45993</v>
      </c>
      <c r="B28" s="2">
        <v>145.29</v>
      </c>
      <c r="C28" s="2">
        <v>146.19</v>
      </c>
      <c r="D28" s="2">
        <v>142.51</v>
      </c>
      <c r="E28" s="2">
        <v>145.86000000000001</v>
      </c>
      <c r="F28" s="2">
        <v>145.86000000000001</v>
      </c>
      <c r="G28" s="3">
        <v>16376800</v>
      </c>
    </row>
    <row r="29" spans="1:7" x14ac:dyDescent="0.3">
      <c r="A29" s="1">
        <v>45992</v>
      </c>
      <c r="B29" s="2">
        <v>148.1</v>
      </c>
      <c r="C29" s="2">
        <v>148.88999999999999</v>
      </c>
      <c r="D29" s="2">
        <v>147.35</v>
      </c>
      <c r="E29" s="2">
        <v>147.44</v>
      </c>
      <c r="F29" s="2">
        <v>147.44</v>
      </c>
      <c r="G29" s="3">
        <v>8240700</v>
      </c>
    </row>
    <row r="30" spans="1:7" x14ac:dyDescent="0.3">
      <c r="A30" s="1">
        <v>45989</v>
      </c>
      <c r="B30" s="2">
        <v>147.80000000000001</v>
      </c>
      <c r="C30" s="2">
        <v>148.71</v>
      </c>
      <c r="D30" s="2">
        <v>147.18</v>
      </c>
      <c r="E30" s="2">
        <v>148.16</v>
      </c>
      <c r="F30" s="2">
        <v>148.16</v>
      </c>
      <c r="G30" s="3">
        <v>4707200</v>
      </c>
    </row>
    <row r="31" spans="1:7" x14ac:dyDescent="0.3">
      <c r="A31" s="1">
        <v>45987</v>
      </c>
      <c r="B31" s="2">
        <v>147.91999999999999</v>
      </c>
      <c r="C31" s="2">
        <v>148.97</v>
      </c>
      <c r="D31" s="2">
        <v>147.61000000000001</v>
      </c>
      <c r="E31" s="2">
        <v>148.25</v>
      </c>
      <c r="F31" s="2">
        <v>148.25</v>
      </c>
      <c r="G31" s="3">
        <v>9238500</v>
      </c>
    </row>
    <row r="32" spans="1:7" x14ac:dyDescent="0.3">
      <c r="A32" s="1">
        <v>45986</v>
      </c>
      <c r="B32" s="2">
        <v>147.32</v>
      </c>
      <c r="C32" s="2">
        <v>148.65</v>
      </c>
      <c r="D32" s="2">
        <v>147.22</v>
      </c>
      <c r="E32" s="2">
        <v>148.49</v>
      </c>
      <c r="F32" s="2">
        <v>148.49</v>
      </c>
      <c r="G32" s="3">
        <v>10477700</v>
      </c>
    </row>
    <row r="33" spans="1:7" x14ac:dyDescent="0.3">
      <c r="A33" s="1">
        <v>45985</v>
      </c>
      <c r="B33" s="2">
        <v>150.1</v>
      </c>
      <c r="C33" s="2">
        <v>150.41</v>
      </c>
      <c r="D33" s="2">
        <v>146.54</v>
      </c>
      <c r="E33" s="2">
        <v>146.97999999999999</v>
      </c>
      <c r="F33" s="2">
        <v>146.97999999999999</v>
      </c>
      <c r="G33" s="3">
        <v>13846900</v>
      </c>
    </row>
    <row r="34" spans="1:7" x14ac:dyDescent="0.3">
      <c r="A34" s="1">
        <v>45982</v>
      </c>
      <c r="B34" s="2">
        <v>148.38</v>
      </c>
      <c r="C34" s="2">
        <v>151.5</v>
      </c>
      <c r="D34" s="2">
        <v>148.30000000000001</v>
      </c>
      <c r="E34" s="2">
        <v>150.91999999999999</v>
      </c>
      <c r="F34" s="2">
        <v>150.91999999999999</v>
      </c>
      <c r="G34" s="3">
        <v>12018000</v>
      </c>
    </row>
    <row r="35" spans="1:7" x14ac:dyDescent="0.3">
      <c r="A35" s="1">
        <v>45981</v>
      </c>
      <c r="B35" s="2">
        <v>146.63999999999999</v>
      </c>
      <c r="C35" s="2">
        <v>148.66</v>
      </c>
      <c r="D35" s="2">
        <v>146.13</v>
      </c>
      <c r="E35" s="2">
        <v>148.19</v>
      </c>
      <c r="F35" s="2">
        <v>148.19</v>
      </c>
      <c r="G35" s="3">
        <v>9021300</v>
      </c>
    </row>
    <row r="36" spans="1:7" x14ac:dyDescent="0.3">
      <c r="A36" s="1">
        <v>45980</v>
      </c>
      <c r="B36" s="2">
        <v>146.96</v>
      </c>
      <c r="C36" s="2">
        <v>147.54</v>
      </c>
      <c r="D36" s="2">
        <v>145.86000000000001</v>
      </c>
      <c r="E36" s="2">
        <v>146.99</v>
      </c>
      <c r="F36" s="2">
        <v>146.99</v>
      </c>
      <c r="G36" s="3">
        <v>6367000</v>
      </c>
    </row>
    <row r="37" spans="1:7" x14ac:dyDescent="0.3">
      <c r="A37" s="1">
        <v>45979</v>
      </c>
      <c r="B37" s="2">
        <v>146.33000000000001</v>
      </c>
      <c r="C37" s="2">
        <v>147.38999999999999</v>
      </c>
      <c r="D37" s="2">
        <v>145.51</v>
      </c>
      <c r="E37" s="2">
        <v>146.99</v>
      </c>
      <c r="F37" s="2">
        <v>146.99</v>
      </c>
      <c r="G37" s="3">
        <v>10735200</v>
      </c>
    </row>
    <row r="38" spans="1:7" x14ac:dyDescent="0.3">
      <c r="A38" s="1">
        <v>45978</v>
      </c>
      <c r="B38" s="2">
        <v>147.75</v>
      </c>
      <c r="C38" s="2">
        <v>147.97999999999999</v>
      </c>
      <c r="D38" s="2">
        <v>145.01</v>
      </c>
      <c r="E38" s="2">
        <v>145.82</v>
      </c>
      <c r="F38" s="2">
        <v>145.82</v>
      </c>
      <c r="G38" s="3">
        <v>9902300</v>
      </c>
    </row>
    <row r="39" spans="1:7" x14ac:dyDescent="0.3">
      <c r="A39" s="1">
        <v>45975</v>
      </c>
      <c r="B39" s="2">
        <v>149.1</v>
      </c>
      <c r="C39" s="2">
        <v>149.38</v>
      </c>
      <c r="D39" s="2">
        <v>147.61000000000001</v>
      </c>
      <c r="E39" s="2">
        <v>147.66999999999999</v>
      </c>
      <c r="F39" s="2">
        <v>147.66999999999999</v>
      </c>
      <c r="G39" s="3">
        <v>9150800</v>
      </c>
    </row>
    <row r="40" spans="1:7" x14ac:dyDescent="0.3">
      <c r="A40" s="1">
        <v>45974</v>
      </c>
      <c r="B40" s="2">
        <v>148.18</v>
      </c>
      <c r="C40" s="2">
        <v>149</v>
      </c>
      <c r="D40" s="2">
        <v>147.63999999999999</v>
      </c>
      <c r="E40" s="2">
        <v>147.96</v>
      </c>
      <c r="F40" s="2">
        <v>147.96</v>
      </c>
      <c r="G40" s="3">
        <v>7566800</v>
      </c>
    </row>
    <row r="41" spans="1:7" x14ac:dyDescent="0.3">
      <c r="A41" s="1">
        <v>45973</v>
      </c>
      <c r="B41" s="2">
        <v>148.53</v>
      </c>
      <c r="C41" s="2">
        <v>149.15</v>
      </c>
      <c r="D41" s="2">
        <v>147.51</v>
      </c>
      <c r="E41" s="2">
        <v>148.01</v>
      </c>
      <c r="F41" s="2">
        <v>148.01</v>
      </c>
      <c r="G41" s="3">
        <v>7851100</v>
      </c>
    </row>
    <row r="42" spans="1:7" x14ac:dyDescent="0.3">
      <c r="A42" s="1">
        <v>45972</v>
      </c>
      <c r="B42" s="2">
        <v>145.96</v>
      </c>
      <c r="C42" s="2">
        <v>148.65</v>
      </c>
      <c r="D42" s="2">
        <v>145.66999999999999</v>
      </c>
      <c r="E42" s="2">
        <v>148.54</v>
      </c>
      <c r="F42" s="2">
        <v>148.54</v>
      </c>
      <c r="G42" s="3">
        <v>7332500</v>
      </c>
    </row>
    <row r="43" spans="1:7" x14ac:dyDescent="0.3">
      <c r="A43" s="1">
        <v>45971</v>
      </c>
      <c r="B43" s="2">
        <v>146.38</v>
      </c>
      <c r="C43" s="2">
        <v>146.62</v>
      </c>
      <c r="D43" s="2">
        <v>144.09</v>
      </c>
      <c r="E43" s="2">
        <v>145.5</v>
      </c>
      <c r="F43" s="2">
        <v>145.5</v>
      </c>
      <c r="G43" s="3">
        <v>10208100</v>
      </c>
    </row>
    <row r="44" spans="1:7" x14ac:dyDescent="0.3">
      <c r="A44" s="1">
        <v>45968</v>
      </c>
      <c r="B44" s="2">
        <v>146.94999999999999</v>
      </c>
      <c r="C44" s="2">
        <v>147.94</v>
      </c>
      <c r="D44" s="2">
        <v>146</v>
      </c>
      <c r="E44" s="2">
        <v>146.97999999999999</v>
      </c>
      <c r="F44" s="2">
        <v>146.97999999999999</v>
      </c>
      <c r="G44" s="3">
        <v>8500100</v>
      </c>
    </row>
    <row r="45" spans="1:7" x14ac:dyDescent="0.3">
      <c r="A45" s="1">
        <v>45967</v>
      </c>
      <c r="B45" s="2">
        <v>145.88</v>
      </c>
      <c r="C45" s="2">
        <v>146.68</v>
      </c>
      <c r="D45" s="2">
        <v>144.46</v>
      </c>
      <c r="E45" s="2">
        <v>146.13</v>
      </c>
      <c r="F45" s="2">
        <v>146.13</v>
      </c>
      <c r="G45" s="3">
        <v>10024500</v>
      </c>
    </row>
    <row r="46" spans="1:7" x14ac:dyDescent="0.3">
      <c r="A46" s="1">
        <v>45966</v>
      </c>
      <c r="B46" s="2">
        <v>146.87</v>
      </c>
      <c r="C46" s="2">
        <v>147.41999999999999</v>
      </c>
      <c r="D46" s="2">
        <v>145.65</v>
      </c>
      <c r="E46" s="2">
        <v>145.79</v>
      </c>
      <c r="F46" s="2">
        <v>145.79</v>
      </c>
      <c r="G46" s="3">
        <v>11199900</v>
      </c>
    </row>
    <row r="47" spans="1:7" x14ac:dyDescent="0.3">
      <c r="A47" s="1">
        <v>45965</v>
      </c>
      <c r="B47" s="2">
        <v>148.6</v>
      </c>
      <c r="C47" s="2">
        <v>149.5</v>
      </c>
      <c r="D47" s="2">
        <v>146.25</v>
      </c>
      <c r="E47" s="2">
        <v>147.16999999999999</v>
      </c>
      <c r="F47" s="2">
        <v>147.16999999999999</v>
      </c>
      <c r="G47" s="3">
        <v>9295400</v>
      </c>
    </row>
    <row r="48" spans="1:7" x14ac:dyDescent="0.3">
      <c r="A48" s="1">
        <v>45964</v>
      </c>
      <c r="B48" s="2">
        <v>150.1</v>
      </c>
      <c r="C48" s="2">
        <v>150.22</v>
      </c>
      <c r="D48" s="2">
        <v>147.77000000000001</v>
      </c>
      <c r="E48" s="2">
        <v>148.02000000000001</v>
      </c>
      <c r="F48" s="2">
        <v>148.02000000000001</v>
      </c>
      <c r="G48" s="3">
        <v>8946400</v>
      </c>
    </row>
    <row r="49" spans="1:7" x14ac:dyDescent="0.3">
      <c r="A49" s="1">
        <v>45961</v>
      </c>
      <c r="B49" s="2">
        <v>148.71</v>
      </c>
      <c r="C49" s="2">
        <v>151.1</v>
      </c>
      <c r="D49" s="2">
        <v>148.53</v>
      </c>
      <c r="E49" s="2">
        <v>150.37</v>
      </c>
      <c r="F49" s="2">
        <v>150.37</v>
      </c>
      <c r="G49" s="3">
        <v>7930300</v>
      </c>
    </row>
    <row r="50" spans="1:7" x14ac:dyDescent="0.3">
      <c r="A50" s="1">
        <v>45960</v>
      </c>
      <c r="B50" s="2">
        <v>149.47</v>
      </c>
      <c r="C50" s="2">
        <v>150.80000000000001</v>
      </c>
      <c r="D50" s="2">
        <v>149.34</v>
      </c>
      <c r="E50" s="2">
        <v>149.58000000000001</v>
      </c>
      <c r="F50" s="2">
        <v>149.58000000000001</v>
      </c>
      <c r="G50" s="3">
        <v>6760700</v>
      </c>
    </row>
    <row r="51" spans="1:7" x14ac:dyDescent="0.3">
      <c r="A51" s="1">
        <v>45959</v>
      </c>
      <c r="B51" s="2">
        <v>150.66</v>
      </c>
      <c r="C51" s="2">
        <v>150.97</v>
      </c>
      <c r="D51" s="2">
        <v>148.47</v>
      </c>
      <c r="E51" s="2">
        <v>148.77000000000001</v>
      </c>
      <c r="F51" s="2">
        <v>148.77000000000001</v>
      </c>
      <c r="G51" s="3">
        <v>7405500</v>
      </c>
    </row>
    <row r="52" spans="1:7" x14ac:dyDescent="0.3">
      <c r="A52" s="1">
        <v>45958</v>
      </c>
      <c r="B52" s="2">
        <v>151.12</v>
      </c>
      <c r="C52" s="2">
        <v>153.16999999999999</v>
      </c>
      <c r="D52" s="2">
        <v>150.62</v>
      </c>
      <c r="E52" s="2">
        <v>151.37</v>
      </c>
      <c r="F52" s="2">
        <v>151.37</v>
      </c>
      <c r="G52" s="3">
        <v>5819300</v>
      </c>
    </row>
    <row r="53" spans="1:7" x14ac:dyDescent="0.3">
      <c r="A53" s="1">
        <v>45957</v>
      </c>
      <c r="B53" s="2">
        <v>151.61000000000001</v>
      </c>
      <c r="C53" s="2">
        <v>151.76</v>
      </c>
      <c r="D53" s="2">
        <v>150.13</v>
      </c>
      <c r="E53" s="2">
        <v>151.74</v>
      </c>
      <c r="F53" s="2">
        <v>151.74</v>
      </c>
      <c r="G53" s="3">
        <v>7775300</v>
      </c>
    </row>
    <row r="54" spans="1:7" x14ac:dyDescent="0.3">
      <c r="A54" s="1">
        <v>45954</v>
      </c>
      <c r="B54" s="2">
        <v>156.4</v>
      </c>
      <c r="C54" s="2">
        <v>157.4</v>
      </c>
      <c r="D54" s="2">
        <v>151.53</v>
      </c>
      <c r="E54" s="2">
        <v>152.49</v>
      </c>
      <c r="F54" s="2">
        <v>152.49</v>
      </c>
      <c r="G54" s="3">
        <v>11968500</v>
      </c>
    </row>
    <row r="55" spans="1:7" x14ac:dyDescent="0.3">
      <c r="A55" s="1">
        <v>45953</v>
      </c>
      <c r="B55" s="2">
        <v>152.35</v>
      </c>
      <c r="C55" s="2">
        <v>153.30000000000001</v>
      </c>
      <c r="D55" s="2">
        <v>150.58000000000001</v>
      </c>
      <c r="E55" s="2">
        <v>152.21</v>
      </c>
      <c r="F55" s="2">
        <v>151.15</v>
      </c>
      <c r="G55" s="3">
        <v>8205400</v>
      </c>
    </row>
    <row r="56" spans="1:7" x14ac:dyDescent="0.3">
      <c r="A56" s="1">
        <v>45952</v>
      </c>
      <c r="B56" s="2">
        <v>151.30000000000001</v>
      </c>
      <c r="C56" s="2">
        <v>153.46</v>
      </c>
      <c r="D56" s="2">
        <v>150.79</v>
      </c>
      <c r="E56" s="2">
        <v>152.19999999999999</v>
      </c>
      <c r="F56" s="2">
        <v>151.13999999999999</v>
      </c>
      <c r="G56" s="3">
        <v>6394400</v>
      </c>
    </row>
    <row r="57" spans="1:7" x14ac:dyDescent="0.3">
      <c r="A57" s="1">
        <v>45951</v>
      </c>
      <c r="B57" s="2">
        <v>151.96</v>
      </c>
      <c r="C57" s="2">
        <v>152.28</v>
      </c>
      <c r="D57" s="2">
        <v>150.87</v>
      </c>
      <c r="E57" s="2">
        <v>151.62</v>
      </c>
      <c r="F57" s="2">
        <v>150.57</v>
      </c>
      <c r="G57" s="3">
        <v>6013400</v>
      </c>
    </row>
    <row r="58" spans="1:7" x14ac:dyDescent="0.3">
      <c r="A58" s="1">
        <v>45950</v>
      </c>
      <c r="B58" s="2">
        <v>151.59</v>
      </c>
      <c r="C58" s="2">
        <v>152.38999999999999</v>
      </c>
      <c r="D58" s="2">
        <v>151.30000000000001</v>
      </c>
      <c r="E58" s="2">
        <v>151.96</v>
      </c>
      <c r="F58" s="2">
        <v>150.9</v>
      </c>
      <c r="G58" s="3">
        <v>5601300</v>
      </c>
    </row>
    <row r="59" spans="1:7" x14ac:dyDescent="0.3">
      <c r="A59" s="1">
        <v>45947</v>
      </c>
      <c r="B59" s="2">
        <v>150.57</v>
      </c>
      <c r="C59" s="2">
        <v>152.03</v>
      </c>
      <c r="D59" s="2">
        <v>150.43</v>
      </c>
      <c r="E59" s="2">
        <v>151.4</v>
      </c>
      <c r="F59" s="2">
        <v>150.35</v>
      </c>
      <c r="G59" s="3">
        <v>8612900</v>
      </c>
    </row>
    <row r="60" spans="1:7" x14ac:dyDescent="0.3">
      <c r="A60" s="1">
        <v>45946</v>
      </c>
      <c r="B60" s="2">
        <v>148.01</v>
      </c>
      <c r="C60" s="2">
        <v>150.4</v>
      </c>
      <c r="D60" s="2">
        <v>147.91999999999999</v>
      </c>
      <c r="E60" s="2">
        <v>149.6</v>
      </c>
      <c r="F60" s="2">
        <v>148.56</v>
      </c>
      <c r="G60" s="3">
        <v>8809700</v>
      </c>
    </row>
    <row r="61" spans="1:7" x14ac:dyDescent="0.3">
      <c r="A61" s="1">
        <v>45945</v>
      </c>
      <c r="B61" s="2">
        <v>148.53</v>
      </c>
      <c r="C61" s="2">
        <v>149.41</v>
      </c>
      <c r="D61" s="2">
        <v>147.27000000000001</v>
      </c>
      <c r="E61" s="2">
        <v>147.41999999999999</v>
      </c>
      <c r="F61" s="2">
        <v>146.4</v>
      </c>
      <c r="G61" s="3">
        <v>10003100</v>
      </c>
    </row>
    <row r="62" spans="1:7" x14ac:dyDescent="0.3">
      <c r="A62" s="1">
        <v>45944</v>
      </c>
      <c r="B62" s="2">
        <v>147.57</v>
      </c>
      <c r="C62" s="2">
        <v>149.25</v>
      </c>
      <c r="D62" s="2">
        <v>147.08000000000001</v>
      </c>
      <c r="E62" s="2">
        <v>149.16</v>
      </c>
      <c r="F62" s="2">
        <v>148.12</v>
      </c>
      <c r="G62" s="3">
        <v>8585300</v>
      </c>
    </row>
    <row r="63" spans="1:7" x14ac:dyDescent="0.3">
      <c r="A63" s="1">
        <v>45943</v>
      </c>
      <c r="B63" s="2">
        <v>149</v>
      </c>
      <c r="C63" s="2">
        <v>149.43</v>
      </c>
      <c r="D63" s="2">
        <v>146.97</v>
      </c>
      <c r="E63" s="2">
        <v>147.49</v>
      </c>
      <c r="F63" s="2">
        <v>146.47</v>
      </c>
      <c r="G63" s="3">
        <v>7511100</v>
      </c>
    </row>
    <row r="64" spans="1:7" x14ac:dyDescent="0.3">
      <c r="A64" s="1">
        <v>45940</v>
      </c>
      <c r="B64" s="2">
        <v>150.94</v>
      </c>
      <c r="C64" s="2">
        <v>151.51</v>
      </c>
      <c r="D64" s="2">
        <v>149.44999999999999</v>
      </c>
      <c r="E64" s="2">
        <v>149.69</v>
      </c>
      <c r="F64" s="2">
        <v>148.65</v>
      </c>
      <c r="G64" s="3">
        <v>7374000</v>
      </c>
    </row>
    <row r="65" spans="1:7" x14ac:dyDescent="0.3">
      <c r="A65" s="1">
        <v>45939</v>
      </c>
      <c r="B65" s="2">
        <v>150.74</v>
      </c>
      <c r="C65" s="2">
        <v>150.87</v>
      </c>
      <c r="D65" s="2">
        <v>149.58000000000001</v>
      </c>
      <c r="E65" s="2">
        <v>150.58000000000001</v>
      </c>
      <c r="F65" s="2">
        <v>149.53</v>
      </c>
      <c r="G65" s="3">
        <v>6134500</v>
      </c>
    </row>
    <row r="66" spans="1:7" x14ac:dyDescent="0.3">
      <c r="A66" s="1">
        <v>45938</v>
      </c>
      <c r="B66" s="2">
        <v>152.79</v>
      </c>
      <c r="C66" s="2">
        <v>152.79</v>
      </c>
      <c r="D66" s="2">
        <v>150.63</v>
      </c>
      <c r="E66" s="2">
        <v>150.69</v>
      </c>
      <c r="F66" s="2">
        <v>149.63999999999999</v>
      </c>
      <c r="G66" s="3">
        <v>5254700</v>
      </c>
    </row>
    <row r="67" spans="1:7" x14ac:dyDescent="0.3">
      <c r="A67" s="1">
        <v>45937</v>
      </c>
      <c r="B67" s="2">
        <v>150.76</v>
      </c>
      <c r="C67" s="2">
        <v>153.16999999999999</v>
      </c>
      <c r="D67" s="2">
        <v>150.05000000000001</v>
      </c>
      <c r="E67" s="2">
        <v>152.54</v>
      </c>
      <c r="F67" s="2">
        <v>151.47999999999999</v>
      </c>
      <c r="G67" s="3">
        <v>6844400</v>
      </c>
    </row>
    <row r="68" spans="1:7" x14ac:dyDescent="0.3">
      <c r="A68" s="1">
        <v>45936</v>
      </c>
      <c r="B68" s="2">
        <v>151.5</v>
      </c>
      <c r="C68" s="2">
        <v>152.32</v>
      </c>
      <c r="D68" s="2">
        <v>150.4</v>
      </c>
      <c r="E68" s="2">
        <v>150.41</v>
      </c>
      <c r="F68" s="2">
        <v>149.37</v>
      </c>
      <c r="G68" s="3">
        <v>6737000</v>
      </c>
    </row>
    <row r="69" spans="1:7" x14ac:dyDescent="0.3">
      <c r="A69" s="1">
        <v>45933</v>
      </c>
      <c r="B69" s="2">
        <v>152</v>
      </c>
      <c r="C69" s="2">
        <v>153.43</v>
      </c>
      <c r="D69" s="2">
        <v>152</v>
      </c>
      <c r="E69" s="2">
        <v>152.27000000000001</v>
      </c>
      <c r="F69" s="2">
        <v>151.21</v>
      </c>
      <c r="G69" s="3">
        <v>5212600</v>
      </c>
    </row>
    <row r="70" spans="1:7" x14ac:dyDescent="0.3">
      <c r="A70" s="1">
        <v>45932</v>
      </c>
      <c r="B70" s="2">
        <v>152.72</v>
      </c>
      <c r="C70" s="2">
        <v>152.80000000000001</v>
      </c>
      <c r="D70" s="2">
        <v>151.63</v>
      </c>
      <c r="E70" s="2">
        <v>152.05000000000001</v>
      </c>
      <c r="F70" s="2">
        <v>150.99</v>
      </c>
      <c r="G70" s="3">
        <v>6892100</v>
      </c>
    </row>
    <row r="71" spans="1:7" x14ac:dyDescent="0.3">
      <c r="A71" s="1">
        <v>45931</v>
      </c>
      <c r="B71" s="2">
        <v>153.69999999999999</v>
      </c>
      <c r="C71" s="2">
        <v>153.88999999999999</v>
      </c>
      <c r="D71" s="2">
        <v>151.41</v>
      </c>
      <c r="E71" s="2">
        <v>153.18</v>
      </c>
      <c r="F71" s="2">
        <v>152.12</v>
      </c>
      <c r="G71" s="3">
        <v>7566000</v>
      </c>
    </row>
    <row r="72" spans="1:7" x14ac:dyDescent="0.3">
      <c r="A72" s="1">
        <v>45930</v>
      </c>
      <c r="B72" s="2">
        <v>153.46</v>
      </c>
      <c r="C72" s="2">
        <v>154.38</v>
      </c>
      <c r="D72" s="2">
        <v>152.84</v>
      </c>
      <c r="E72" s="2">
        <v>153.65</v>
      </c>
      <c r="F72" s="2">
        <v>152.58000000000001</v>
      </c>
      <c r="G72" s="3">
        <v>7762600</v>
      </c>
    </row>
    <row r="73" spans="1:7" x14ac:dyDescent="0.3">
      <c r="A73" s="1">
        <v>45929</v>
      </c>
      <c r="B73" s="2">
        <v>152.41999999999999</v>
      </c>
      <c r="C73" s="2">
        <v>153.72</v>
      </c>
      <c r="D73" s="2">
        <v>151.79</v>
      </c>
      <c r="E73" s="2">
        <v>153.53</v>
      </c>
      <c r="F73" s="2">
        <v>152.46</v>
      </c>
      <c r="G73" s="3">
        <v>8139700</v>
      </c>
    </row>
    <row r="74" spans="1:7" x14ac:dyDescent="0.3">
      <c r="A74" s="1">
        <v>45926</v>
      </c>
      <c r="B74" s="2">
        <v>152.22999999999999</v>
      </c>
      <c r="C74" s="2">
        <v>152.88</v>
      </c>
      <c r="D74" s="2">
        <v>151.53</v>
      </c>
      <c r="E74" s="2">
        <v>152.5</v>
      </c>
      <c r="F74" s="2">
        <v>151.44</v>
      </c>
      <c r="G74" s="3">
        <v>5721100</v>
      </c>
    </row>
    <row r="75" spans="1:7" x14ac:dyDescent="0.3">
      <c r="A75" s="1">
        <v>45925</v>
      </c>
      <c r="B75" s="2">
        <v>153.22999999999999</v>
      </c>
      <c r="C75" s="2">
        <v>153.88</v>
      </c>
      <c r="D75" s="2">
        <v>151.78</v>
      </c>
      <c r="E75" s="2">
        <v>152.15</v>
      </c>
      <c r="F75" s="2">
        <v>151.09</v>
      </c>
      <c r="G75" s="3">
        <v>7511400</v>
      </c>
    </row>
    <row r="76" spans="1:7" x14ac:dyDescent="0.3">
      <c r="A76" s="1">
        <v>45924</v>
      </c>
      <c r="B76" s="2">
        <v>152.05000000000001</v>
      </c>
      <c r="C76" s="2">
        <v>153.63</v>
      </c>
      <c r="D76" s="2">
        <v>151.79</v>
      </c>
      <c r="E76" s="2">
        <v>152.41999999999999</v>
      </c>
      <c r="F76" s="2">
        <v>151.36000000000001</v>
      </c>
      <c r="G76" s="3">
        <v>6483300</v>
      </c>
    </row>
    <row r="77" spans="1:7" x14ac:dyDescent="0.3">
      <c r="A77" s="1">
        <v>45923</v>
      </c>
      <c r="B77" s="2">
        <v>153.19999999999999</v>
      </c>
      <c r="C77" s="2">
        <v>153.29</v>
      </c>
      <c r="D77" s="2">
        <v>150.97</v>
      </c>
      <c r="E77" s="2">
        <v>152.5</v>
      </c>
      <c r="F77" s="2">
        <v>151.44</v>
      </c>
      <c r="G77" s="3">
        <v>8853400</v>
      </c>
    </row>
    <row r="78" spans="1:7" x14ac:dyDescent="0.3">
      <c r="A78" s="1">
        <v>45922</v>
      </c>
      <c r="B78" s="2">
        <v>156.08000000000001</v>
      </c>
      <c r="C78" s="2">
        <v>156.08000000000001</v>
      </c>
      <c r="D78" s="2">
        <v>153.05000000000001</v>
      </c>
      <c r="E78" s="2">
        <v>153.07</v>
      </c>
      <c r="F78" s="2">
        <v>152.01</v>
      </c>
      <c r="G78" s="3">
        <v>8712900</v>
      </c>
    </row>
    <row r="79" spans="1:7" x14ac:dyDescent="0.3">
      <c r="A79" s="1">
        <v>45919</v>
      </c>
      <c r="B79" s="2">
        <v>157.61000000000001</v>
      </c>
      <c r="C79" s="2">
        <v>157.82</v>
      </c>
      <c r="D79" s="2">
        <v>155.97</v>
      </c>
      <c r="E79" s="2">
        <v>156.04</v>
      </c>
      <c r="F79" s="2">
        <v>154.96</v>
      </c>
      <c r="G79" s="3">
        <v>17224800</v>
      </c>
    </row>
    <row r="80" spans="1:7" x14ac:dyDescent="0.3">
      <c r="A80" s="1">
        <v>45918</v>
      </c>
      <c r="B80" s="2">
        <v>158.15</v>
      </c>
      <c r="C80" s="2">
        <v>159.02000000000001</v>
      </c>
      <c r="D80" s="2">
        <v>157.16</v>
      </c>
      <c r="E80" s="2">
        <v>157.32</v>
      </c>
      <c r="F80" s="2">
        <v>156.22999999999999</v>
      </c>
      <c r="G80" s="3">
        <v>7651500</v>
      </c>
    </row>
    <row r="81" spans="1:7" x14ac:dyDescent="0.3">
      <c r="A81" s="1">
        <v>45917</v>
      </c>
      <c r="B81" s="2">
        <v>158.43</v>
      </c>
      <c r="C81" s="2">
        <v>161.66999999999999</v>
      </c>
      <c r="D81" s="2">
        <v>158.43</v>
      </c>
      <c r="E81" s="2">
        <v>160.33000000000001</v>
      </c>
      <c r="F81" s="2">
        <v>159.22</v>
      </c>
      <c r="G81" s="3">
        <v>6764200</v>
      </c>
    </row>
    <row r="82" spans="1:7" x14ac:dyDescent="0.3">
      <c r="A82" s="1">
        <v>45916</v>
      </c>
      <c r="B82" s="2">
        <v>157.13999999999999</v>
      </c>
      <c r="C82" s="2">
        <v>158.38999999999999</v>
      </c>
      <c r="D82" s="2">
        <v>156.88999999999999</v>
      </c>
      <c r="E82" s="2">
        <v>158.05000000000001</v>
      </c>
      <c r="F82" s="2">
        <v>156.94999999999999</v>
      </c>
      <c r="G82" s="3">
        <v>8559600</v>
      </c>
    </row>
    <row r="83" spans="1:7" x14ac:dyDescent="0.3">
      <c r="A83" s="1">
        <v>45915</v>
      </c>
      <c r="B83" s="2">
        <v>157.88</v>
      </c>
      <c r="C83" s="2">
        <v>158.52000000000001</v>
      </c>
      <c r="D83" s="2">
        <v>156.19999999999999</v>
      </c>
      <c r="E83" s="2">
        <v>156.83000000000001</v>
      </c>
      <c r="F83" s="2">
        <v>155.74</v>
      </c>
      <c r="G83" s="3">
        <v>5995000</v>
      </c>
    </row>
    <row r="84" spans="1:7" x14ac:dyDescent="0.3">
      <c r="A84" s="1">
        <v>45912</v>
      </c>
      <c r="B84" s="2">
        <v>157.93</v>
      </c>
      <c r="C84" s="2">
        <v>159.13</v>
      </c>
      <c r="D84" s="2">
        <v>157.78</v>
      </c>
      <c r="E84" s="2">
        <v>157.9</v>
      </c>
      <c r="F84" s="2">
        <v>156.80000000000001</v>
      </c>
      <c r="G84" s="3">
        <v>5957000</v>
      </c>
    </row>
    <row r="85" spans="1:7" x14ac:dyDescent="0.3">
      <c r="A85" s="1">
        <v>45911</v>
      </c>
      <c r="B85" s="2">
        <v>157.72</v>
      </c>
      <c r="C85" s="2">
        <v>159.35</v>
      </c>
      <c r="D85" s="2">
        <v>157.38999999999999</v>
      </c>
      <c r="E85" s="2">
        <v>158.63</v>
      </c>
      <c r="F85" s="2">
        <v>157.53</v>
      </c>
      <c r="G85" s="3">
        <v>5819500</v>
      </c>
    </row>
    <row r="86" spans="1:7" x14ac:dyDescent="0.3">
      <c r="A86" s="1">
        <v>45910</v>
      </c>
      <c r="B86" s="2">
        <v>158.6</v>
      </c>
      <c r="C86" s="2">
        <v>158.94</v>
      </c>
      <c r="D86" s="2">
        <v>155.88999999999999</v>
      </c>
      <c r="E86" s="2">
        <v>157.35</v>
      </c>
      <c r="F86" s="2">
        <v>156.26</v>
      </c>
      <c r="G86" s="3">
        <v>6205500</v>
      </c>
    </row>
    <row r="87" spans="1:7" x14ac:dyDescent="0.3">
      <c r="A87" s="1">
        <v>45909</v>
      </c>
      <c r="B87" s="2">
        <v>158.61000000000001</v>
      </c>
      <c r="C87" s="2">
        <v>159.87</v>
      </c>
      <c r="D87" s="2">
        <v>158.19999999999999</v>
      </c>
      <c r="E87" s="2">
        <v>159.46</v>
      </c>
      <c r="F87" s="2">
        <v>158.35</v>
      </c>
      <c r="G87" s="3">
        <v>4984900</v>
      </c>
    </row>
    <row r="88" spans="1:7" x14ac:dyDescent="0.3">
      <c r="A88" s="1">
        <v>45908</v>
      </c>
      <c r="B88" s="2">
        <v>159.61000000000001</v>
      </c>
      <c r="C88" s="2">
        <v>160.27000000000001</v>
      </c>
      <c r="D88" s="2">
        <v>158.25</v>
      </c>
      <c r="E88" s="2">
        <v>159.01</v>
      </c>
      <c r="F88" s="2">
        <v>157.91</v>
      </c>
      <c r="G88" s="3">
        <v>7178400</v>
      </c>
    </row>
    <row r="89" spans="1:7" x14ac:dyDescent="0.3">
      <c r="A89" s="1">
        <v>45905</v>
      </c>
      <c r="B89" s="2">
        <v>158.55000000000001</v>
      </c>
      <c r="C89" s="2">
        <v>160.56</v>
      </c>
      <c r="D89" s="2">
        <v>158.41</v>
      </c>
      <c r="E89" s="2">
        <v>160.02000000000001</v>
      </c>
      <c r="F89" s="2">
        <v>158.91</v>
      </c>
      <c r="G89" s="3">
        <v>6436200</v>
      </c>
    </row>
    <row r="90" spans="1:7" x14ac:dyDescent="0.3">
      <c r="A90" s="1">
        <v>45904</v>
      </c>
      <c r="B90" s="2">
        <v>158.52000000000001</v>
      </c>
      <c r="C90" s="2">
        <v>159.75</v>
      </c>
      <c r="D90" s="2">
        <v>157.81</v>
      </c>
      <c r="E90" s="2">
        <v>159.19</v>
      </c>
      <c r="F90" s="2">
        <v>158.08000000000001</v>
      </c>
      <c r="G90" s="3">
        <v>6934900</v>
      </c>
    </row>
    <row r="91" spans="1:7" x14ac:dyDescent="0.3">
      <c r="A91" s="1">
        <v>45903</v>
      </c>
      <c r="B91" s="2">
        <v>157.65</v>
      </c>
      <c r="C91" s="2">
        <v>158.63999999999999</v>
      </c>
      <c r="D91" s="2">
        <v>156.5</v>
      </c>
      <c r="E91" s="2">
        <v>158.16999999999999</v>
      </c>
      <c r="F91" s="2">
        <v>157.07</v>
      </c>
      <c r="G91" s="3">
        <v>6592500</v>
      </c>
    </row>
    <row r="92" spans="1:7" x14ac:dyDescent="0.3">
      <c r="A92" s="1">
        <v>45902</v>
      </c>
      <c r="B92" s="2">
        <v>157.36000000000001</v>
      </c>
      <c r="C92" s="2">
        <v>158.86000000000001</v>
      </c>
      <c r="D92" s="2">
        <v>156.97999999999999</v>
      </c>
      <c r="E92" s="2">
        <v>157.99</v>
      </c>
      <c r="F92" s="2">
        <v>156.88999999999999</v>
      </c>
      <c r="G92" s="3">
        <v>6432800</v>
      </c>
    </row>
    <row r="93" spans="1:7" x14ac:dyDescent="0.3">
      <c r="A93" s="1">
        <v>45898</v>
      </c>
      <c r="B93" s="2">
        <v>156.09</v>
      </c>
      <c r="C93" s="2">
        <v>157.56</v>
      </c>
      <c r="D93" s="2">
        <v>155.65</v>
      </c>
      <c r="E93" s="2">
        <v>157.04</v>
      </c>
      <c r="F93" s="2">
        <v>155.94999999999999</v>
      </c>
      <c r="G93" s="3">
        <v>5318200</v>
      </c>
    </row>
    <row r="94" spans="1:7" x14ac:dyDescent="0.3">
      <c r="A94" s="1">
        <v>45897</v>
      </c>
      <c r="B94" s="2">
        <v>157</v>
      </c>
      <c r="C94" s="2">
        <v>157.01</v>
      </c>
      <c r="D94" s="2">
        <v>155.03</v>
      </c>
      <c r="E94" s="2">
        <v>155.65</v>
      </c>
      <c r="F94" s="2">
        <v>154.57</v>
      </c>
      <c r="G94" s="3">
        <v>5857400</v>
      </c>
    </row>
    <row r="95" spans="1:7" x14ac:dyDescent="0.3">
      <c r="A95" s="1">
        <v>45896</v>
      </c>
      <c r="B95" s="2">
        <v>156.15</v>
      </c>
      <c r="C95" s="2">
        <v>157.13</v>
      </c>
      <c r="D95" s="2">
        <v>155.79</v>
      </c>
      <c r="E95" s="2">
        <v>156.96</v>
      </c>
      <c r="F95" s="2">
        <v>155.87</v>
      </c>
      <c r="G95" s="3">
        <v>4551200</v>
      </c>
    </row>
    <row r="96" spans="1:7" x14ac:dyDescent="0.3">
      <c r="A96" s="1">
        <v>45895</v>
      </c>
      <c r="B96" s="2">
        <v>155.91999999999999</v>
      </c>
      <c r="C96" s="2">
        <v>156.69999999999999</v>
      </c>
      <c r="D96" s="2">
        <v>155.34</v>
      </c>
      <c r="E96" s="2">
        <v>155.97</v>
      </c>
      <c r="F96" s="2">
        <v>154.88999999999999</v>
      </c>
      <c r="G96" s="3">
        <v>6338000</v>
      </c>
    </row>
    <row r="97" spans="1:7" x14ac:dyDescent="0.3">
      <c r="A97" s="1">
        <v>45894</v>
      </c>
      <c r="B97" s="2">
        <v>158.38999999999999</v>
      </c>
      <c r="C97" s="2">
        <v>158.69999999999999</v>
      </c>
      <c r="D97" s="2">
        <v>155.88999999999999</v>
      </c>
      <c r="E97" s="2">
        <v>156.15</v>
      </c>
      <c r="F97" s="2">
        <v>155.07</v>
      </c>
      <c r="G97" s="3">
        <v>4692500</v>
      </c>
    </row>
    <row r="98" spans="1:7" x14ac:dyDescent="0.3">
      <c r="A98" s="1">
        <v>45891</v>
      </c>
      <c r="B98" s="2">
        <v>159.38</v>
      </c>
      <c r="C98" s="2">
        <v>160.68</v>
      </c>
      <c r="D98" s="2">
        <v>158.31</v>
      </c>
      <c r="E98" s="2">
        <v>158.66999999999999</v>
      </c>
      <c r="F98" s="2">
        <v>157.57</v>
      </c>
      <c r="G98" s="3">
        <v>5797300</v>
      </c>
    </row>
    <row r="99" spans="1:7" x14ac:dyDescent="0.3">
      <c r="A99" s="1">
        <v>45890</v>
      </c>
      <c r="B99" s="2">
        <v>157.93</v>
      </c>
      <c r="C99" s="2">
        <v>159.06</v>
      </c>
      <c r="D99" s="2">
        <v>157.18</v>
      </c>
      <c r="E99" s="2">
        <v>158.72999999999999</v>
      </c>
      <c r="F99" s="2">
        <v>157.63</v>
      </c>
      <c r="G99" s="3">
        <v>6417500</v>
      </c>
    </row>
    <row r="100" spans="1:7" x14ac:dyDescent="0.3">
      <c r="A100" s="1">
        <v>45889</v>
      </c>
      <c r="B100" s="2">
        <v>158.58000000000001</v>
      </c>
      <c r="C100" s="2">
        <v>161.03</v>
      </c>
      <c r="D100" s="2">
        <v>158.41</v>
      </c>
      <c r="E100" s="2">
        <v>159.51</v>
      </c>
      <c r="F100" s="2">
        <v>158.4</v>
      </c>
      <c r="G100" s="3">
        <v>7840400</v>
      </c>
    </row>
    <row r="101" spans="1:7" x14ac:dyDescent="0.3">
      <c r="A101" s="1">
        <v>45888</v>
      </c>
      <c r="B101" s="2">
        <v>155.72999999999999</v>
      </c>
      <c r="C101" s="2">
        <v>158.69999999999999</v>
      </c>
      <c r="D101" s="2">
        <v>155.66999999999999</v>
      </c>
      <c r="E101" s="2">
        <v>158.4</v>
      </c>
      <c r="F101" s="2">
        <v>157.30000000000001</v>
      </c>
      <c r="G101" s="3">
        <v>7868100</v>
      </c>
    </row>
    <row r="102" spans="1:7" x14ac:dyDescent="0.3">
      <c r="A102" s="1">
        <v>45887</v>
      </c>
      <c r="B102" s="2">
        <v>154.41999999999999</v>
      </c>
      <c r="C102" s="2">
        <v>156.91999999999999</v>
      </c>
      <c r="D102" s="2">
        <v>154.16999999999999</v>
      </c>
      <c r="E102" s="2">
        <v>155.72</v>
      </c>
      <c r="F102" s="2">
        <v>154.63999999999999</v>
      </c>
      <c r="G102" s="3">
        <v>8274500</v>
      </c>
    </row>
    <row r="103" spans="1:7" x14ac:dyDescent="0.3">
      <c r="A103" s="1">
        <v>45884</v>
      </c>
      <c r="B103" s="2">
        <v>154.47</v>
      </c>
      <c r="C103" s="2">
        <v>155.6</v>
      </c>
      <c r="D103" s="2">
        <v>154.21</v>
      </c>
      <c r="E103" s="2">
        <v>154.36000000000001</v>
      </c>
      <c r="F103" s="2">
        <v>153.29</v>
      </c>
      <c r="G103" s="3">
        <v>7121700</v>
      </c>
    </row>
    <row r="104" spans="1:7" x14ac:dyDescent="0.3">
      <c r="A104" s="1">
        <v>45883</v>
      </c>
      <c r="B104" s="2">
        <v>154.63999999999999</v>
      </c>
      <c r="C104" s="2">
        <v>154.69999999999999</v>
      </c>
      <c r="D104" s="2">
        <v>153.27000000000001</v>
      </c>
      <c r="E104" s="2">
        <v>153.74</v>
      </c>
      <c r="F104" s="2">
        <v>152.66999999999999</v>
      </c>
      <c r="G104" s="3">
        <v>6343700</v>
      </c>
    </row>
    <row r="105" spans="1:7" x14ac:dyDescent="0.3">
      <c r="A105" s="1">
        <v>45882</v>
      </c>
      <c r="B105" s="2">
        <v>155.21</v>
      </c>
      <c r="C105" s="2">
        <v>157.01</v>
      </c>
      <c r="D105" s="2">
        <v>154.94999999999999</v>
      </c>
      <c r="E105" s="2">
        <v>155.41</v>
      </c>
      <c r="F105" s="2">
        <v>154.33000000000001</v>
      </c>
      <c r="G105" s="3">
        <v>5812400</v>
      </c>
    </row>
    <row r="106" spans="1:7" x14ac:dyDescent="0.3">
      <c r="A106" s="1">
        <v>45881</v>
      </c>
      <c r="B106" s="2">
        <v>155.06</v>
      </c>
      <c r="C106" s="2">
        <v>155.54</v>
      </c>
      <c r="D106" s="2">
        <v>154.31</v>
      </c>
      <c r="E106" s="2">
        <v>155.09</v>
      </c>
      <c r="F106" s="2">
        <v>154.01</v>
      </c>
      <c r="G106" s="3">
        <v>6938000</v>
      </c>
    </row>
    <row r="107" spans="1:7" x14ac:dyDescent="0.3">
      <c r="A107" s="1">
        <v>45880</v>
      </c>
      <c r="B107" s="2">
        <v>153.54</v>
      </c>
      <c r="C107" s="2">
        <v>155.38999999999999</v>
      </c>
      <c r="D107" s="2">
        <v>153.31</v>
      </c>
      <c r="E107" s="2">
        <v>154.97999999999999</v>
      </c>
      <c r="F107" s="2">
        <v>153.9</v>
      </c>
      <c r="G107" s="3">
        <v>7331700</v>
      </c>
    </row>
    <row r="108" spans="1:7" x14ac:dyDescent="0.3">
      <c r="A108" s="1">
        <v>45877</v>
      </c>
      <c r="B108" s="2">
        <v>152.77000000000001</v>
      </c>
      <c r="C108" s="2">
        <v>153.79</v>
      </c>
      <c r="D108" s="2">
        <v>152.57</v>
      </c>
      <c r="E108" s="2">
        <v>153.51</v>
      </c>
      <c r="F108" s="2">
        <v>152.44</v>
      </c>
      <c r="G108" s="3">
        <v>5811000</v>
      </c>
    </row>
    <row r="109" spans="1:7" x14ac:dyDescent="0.3">
      <c r="A109" s="1">
        <v>45876</v>
      </c>
      <c r="B109" s="2">
        <v>153.12</v>
      </c>
      <c r="C109" s="2">
        <v>154.01</v>
      </c>
      <c r="D109" s="2">
        <v>152.69999999999999</v>
      </c>
      <c r="E109" s="2">
        <v>153.49</v>
      </c>
      <c r="F109" s="2">
        <v>152.41999999999999</v>
      </c>
      <c r="G109" s="3">
        <v>6719000</v>
      </c>
    </row>
    <row r="110" spans="1:7" x14ac:dyDescent="0.3">
      <c r="A110" s="1">
        <v>45875</v>
      </c>
      <c r="B110" s="2">
        <v>150.86000000000001</v>
      </c>
      <c r="C110" s="2">
        <v>153.47999999999999</v>
      </c>
      <c r="D110" s="2">
        <v>150.21</v>
      </c>
      <c r="E110" s="2">
        <v>152.86000000000001</v>
      </c>
      <c r="F110" s="2">
        <v>151.80000000000001</v>
      </c>
      <c r="G110" s="3">
        <v>7376200</v>
      </c>
    </row>
    <row r="111" spans="1:7" x14ac:dyDescent="0.3">
      <c r="A111" s="1">
        <v>45874</v>
      </c>
      <c r="B111" s="2">
        <v>150.71</v>
      </c>
      <c r="C111" s="2">
        <v>152.08000000000001</v>
      </c>
      <c r="D111" s="2">
        <v>150.32</v>
      </c>
      <c r="E111" s="2">
        <v>150.51</v>
      </c>
      <c r="F111" s="2">
        <v>149.46</v>
      </c>
      <c r="G111" s="3">
        <v>6670100</v>
      </c>
    </row>
    <row r="112" spans="1:7" x14ac:dyDescent="0.3">
      <c r="A112" s="1">
        <v>45873</v>
      </c>
      <c r="B112" s="2">
        <v>150.25</v>
      </c>
      <c r="C112" s="2">
        <v>151.46</v>
      </c>
      <c r="D112" s="2">
        <v>150.02000000000001</v>
      </c>
      <c r="E112" s="2">
        <v>150.76</v>
      </c>
      <c r="F112" s="2">
        <v>149.71</v>
      </c>
      <c r="G112" s="3">
        <v>7679400</v>
      </c>
    </row>
    <row r="113" spans="1:7" x14ac:dyDescent="0.3">
      <c r="A113" s="1">
        <v>45870</v>
      </c>
      <c r="B113" s="2">
        <v>151.78</v>
      </c>
      <c r="C113" s="2">
        <v>153.49</v>
      </c>
      <c r="D113" s="2">
        <v>150.52000000000001</v>
      </c>
      <c r="E113" s="2">
        <v>150.65</v>
      </c>
      <c r="F113" s="2">
        <v>149.6</v>
      </c>
      <c r="G113" s="3">
        <v>8594200</v>
      </c>
    </row>
    <row r="114" spans="1:7" x14ac:dyDescent="0.3">
      <c r="A114" s="1">
        <v>45869</v>
      </c>
      <c r="B114" s="2">
        <v>151.80000000000001</v>
      </c>
      <c r="C114" s="2">
        <v>152</v>
      </c>
      <c r="D114" s="2">
        <v>149.91</v>
      </c>
      <c r="E114" s="2">
        <v>150.47</v>
      </c>
      <c r="F114" s="2">
        <v>149.43</v>
      </c>
      <c r="G114" s="3">
        <v>11845400</v>
      </c>
    </row>
    <row r="115" spans="1:7" x14ac:dyDescent="0.3">
      <c r="A115" s="1">
        <v>45868</v>
      </c>
      <c r="B115" s="2">
        <v>157</v>
      </c>
      <c r="C115" s="2">
        <v>157</v>
      </c>
      <c r="D115" s="2">
        <v>152.05000000000001</v>
      </c>
      <c r="E115" s="2">
        <v>152.88</v>
      </c>
      <c r="F115" s="2">
        <v>151.82</v>
      </c>
      <c r="G115" s="3">
        <v>8162900</v>
      </c>
    </row>
    <row r="116" spans="1:7" x14ac:dyDescent="0.3">
      <c r="A116" s="1">
        <v>45867</v>
      </c>
      <c r="B116" s="2">
        <v>158.65</v>
      </c>
      <c r="C116" s="2">
        <v>158.65</v>
      </c>
      <c r="D116" s="2">
        <v>154.84</v>
      </c>
      <c r="E116" s="2">
        <v>156.61000000000001</v>
      </c>
      <c r="F116" s="2">
        <v>155.52000000000001</v>
      </c>
      <c r="G116" s="3">
        <v>11466100</v>
      </c>
    </row>
    <row r="117" spans="1:7" x14ac:dyDescent="0.3">
      <c r="A117" s="1">
        <v>45866</v>
      </c>
      <c r="B117" s="2">
        <v>157.63</v>
      </c>
      <c r="C117" s="2">
        <v>158.09</v>
      </c>
      <c r="D117" s="2">
        <v>156.22999999999999</v>
      </c>
      <c r="E117" s="2">
        <v>157.11000000000001</v>
      </c>
      <c r="F117" s="2">
        <v>156.02000000000001</v>
      </c>
      <c r="G117" s="3">
        <v>7885000</v>
      </c>
    </row>
    <row r="118" spans="1:7" x14ac:dyDescent="0.3">
      <c r="A118" s="1">
        <v>45863</v>
      </c>
      <c r="B118" s="2">
        <v>157.34</v>
      </c>
      <c r="C118" s="2">
        <v>158.44</v>
      </c>
      <c r="D118" s="2">
        <v>157.02000000000001</v>
      </c>
      <c r="E118" s="2">
        <v>158.30000000000001</v>
      </c>
      <c r="F118" s="2">
        <v>157.19999999999999</v>
      </c>
      <c r="G118" s="3">
        <v>5799900</v>
      </c>
    </row>
    <row r="119" spans="1:7" x14ac:dyDescent="0.3">
      <c r="A119" s="1">
        <v>45862</v>
      </c>
      <c r="B119" s="2">
        <v>158.87</v>
      </c>
      <c r="C119" s="2">
        <v>159.02000000000001</v>
      </c>
      <c r="D119" s="2">
        <v>158.05000000000001</v>
      </c>
      <c r="E119" s="2">
        <v>158.81</v>
      </c>
      <c r="F119" s="2">
        <v>157.71</v>
      </c>
      <c r="G119" s="3">
        <v>7027400</v>
      </c>
    </row>
    <row r="120" spans="1:7" x14ac:dyDescent="0.3">
      <c r="A120" s="1">
        <v>45861</v>
      </c>
      <c r="B120" s="2">
        <v>158.22</v>
      </c>
      <c r="C120" s="2">
        <v>158.88</v>
      </c>
      <c r="D120" s="2">
        <v>157.68</v>
      </c>
      <c r="E120" s="2">
        <v>158.28</v>
      </c>
      <c r="F120" s="2">
        <v>157.18</v>
      </c>
      <c r="G120" s="3">
        <v>4804800</v>
      </c>
    </row>
    <row r="121" spans="1:7" x14ac:dyDescent="0.3">
      <c r="A121" s="1">
        <v>45860</v>
      </c>
      <c r="B121" s="2">
        <v>154.91999999999999</v>
      </c>
      <c r="C121" s="2">
        <v>158.37</v>
      </c>
      <c r="D121" s="2">
        <v>154.9</v>
      </c>
      <c r="E121" s="2">
        <v>158.32</v>
      </c>
      <c r="F121" s="2">
        <v>157.22</v>
      </c>
      <c r="G121" s="3">
        <v>8187000</v>
      </c>
    </row>
    <row r="122" spans="1:7" x14ac:dyDescent="0.3">
      <c r="A122" s="1">
        <v>45859</v>
      </c>
      <c r="B122" s="2">
        <v>155.07</v>
      </c>
      <c r="C122" s="2">
        <v>155.94</v>
      </c>
      <c r="D122" s="2">
        <v>154.88999999999999</v>
      </c>
      <c r="E122" s="2">
        <v>155.03</v>
      </c>
      <c r="F122" s="2">
        <v>153.94999999999999</v>
      </c>
      <c r="G122" s="3">
        <v>6328400</v>
      </c>
    </row>
    <row r="123" spans="1:7" x14ac:dyDescent="0.3">
      <c r="A123" s="1">
        <v>45856</v>
      </c>
      <c r="B123" s="2">
        <v>153.78</v>
      </c>
      <c r="C123" s="2">
        <v>155.57</v>
      </c>
      <c r="D123" s="2">
        <v>153.63</v>
      </c>
      <c r="E123" s="2">
        <v>155.1</v>
      </c>
      <c r="F123" s="2">
        <v>154.02000000000001</v>
      </c>
      <c r="G123" s="3">
        <v>7337300</v>
      </c>
    </row>
    <row r="124" spans="1:7" x14ac:dyDescent="0.3">
      <c r="A124" s="1">
        <v>45855</v>
      </c>
      <c r="B124" s="2">
        <v>154.04</v>
      </c>
      <c r="C124" s="2">
        <v>155.75</v>
      </c>
      <c r="D124" s="2">
        <v>153.88</v>
      </c>
      <c r="E124" s="2">
        <v>155.62</v>
      </c>
      <c r="F124" s="2">
        <v>153.49</v>
      </c>
      <c r="G124" s="3">
        <v>8320000</v>
      </c>
    </row>
    <row r="125" spans="1:7" x14ac:dyDescent="0.3">
      <c r="A125" s="1">
        <v>45854</v>
      </c>
      <c r="B125" s="2">
        <v>152.74</v>
      </c>
      <c r="C125" s="2">
        <v>153.76</v>
      </c>
      <c r="D125" s="2">
        <v>152.27000000000001</v>
      </c>
      <c r="E125" s="2">
        <v>153.72999999999999</v>
      </c>
      <c r="F125" s="2">
        <v>151.63</v>
      </c>
      <c r="G125" s="3">
        <v>8479000</v>
      </c>
    </row>
    <row r="126" spans="1:7" x14ac:dyDescent="0.3">
      <c r="A126" s="1">
        <v>45853</v>
      </c>
      <c r="B126" s="2">
        <v>153.56</v>
      </c>
      <c r="C126" s="2">
        <v>154.05000000000001</v>
      </c>
      <c r="D126" s="2">
        <v>151.9</v>
      </c>
      <c r="E126" s="2">
        <v>152.68</v>
      </c>
      <c r="F126" s="2">
        <v>150.59</v>
      </c>
      <c r="G126" s="3">
        <v>9142600</v>
      </c>
    </row>
    <row r="127" spans="1:7" x14ac:dyDescent="0.3">
      <c r="A127" s="1">
        <v>45852</v>
      </c>
      <c r="B127" s="2">
        <v>155.58000000000001</v>
      </c>
      <c r="C127" s="2">
        <v>155.80000000000001</v>
      </c>
      <c r="D127" s="2">
        <v>152.86000000000001</v>
      </c>
      <c r="E127" s="2">
        <v>153.76</v>
      </c>
      <c r="F127" s="2">
        <v>151.66</v>
      </c>
      <c r="G127" s="3">
        <v>11491700</v>
      </c>
    </row>
    <row r="128" spans="1:7" x14ac:dyDescent="0.3">
      <c r="A128" s="1">
        <v>45849</v>
      </c>
      <c r="B128" s="2">
        <v>158.05000000000001</v>
      </c>
      <c r="C128" s="2">
        <v>158.05000000000001</v>
      </c>
      <c r="D128" s="2">
        <v>156.44</v>
      </c>
      <c r="E128" s="2">
        <v>157.05000000000001</v>
      </c>
      <c r="F128" s="2">
        <v>154.9</v>
      </c>
      <c r="G128" s="3">
        <v>8053800</v>
      </c>
    </row>
    <row r="129" spans="1:7" x14ac:dyDescent="0.3">
      <c r="A129" s="1">
        <v>45848</v>
      </c>
      <c r="B129" s="2">
        <v>157.76</v>
      </c>
      <c r="C129" s="2">
        <v>159.61000000000001</v>
      </c>
      <c r="D129" s="2">
        <v>157.04</v>
      </c>
      <c r="E129" s="2">
        <v>158.49</v>
      </c>
      <c r="F129" s="2">
        <v>156.32</v>
      </c>
      <c r="G129" s="3">
        <v>7200500</v>
      </c>
    </row>
    <row r="130" spans="1:7" x14ac:dyDescent="0.3">
      <c r="A130" s="1">
        <v>45847</v>
      </c>
      <c r="B130" s="2">
        <v>158.1</v>
      </c>
      <c r="C130" s="2">
        <v>158.19999999999999</v>
      </c>
      <c r="D130" s="2">
        <v>155.94999999999999</v>
      </c>
      <c r="E130" s="2">
        <v>157.52000000000001</v>
      </c>
      <c r="F130" s="2">
        <v>155.36000000000001</v>
      </c>
      <c r="G130" s="3">
        <v>18770900</v>
      </c>
    </row>
    <row r="131" spans="1:7" x14ac:dyDescent="0.3">
      <c r="A131" s="1">
        <v>45846</v>
      </c>
      <c r="B131" s="2">
        <v>159.52000000000001</v>
      </c>
      <c r="C131" s="2">
        <v>159.78</v>
      </c>
      <c r="D131" s="2">
        <v>157.44</v>
      </c>
      <c r="E131" s="2">
        <v>157.88999999999999</v>
      </c>
      <c r="F131" s="2">
        <v>155.72999999999999</v>
      </c>
      <c r="G131" s="3">
        <v>12034800</v>
      </c>
    </row>
    <row r="132" spans="1:7" x14ac:dyDescent="0.3">
      <c r="A132" s="1">
        <v>45845</v>
      </c>
      <c r="B132" s="2">
        <v>160.88999999999999</v>
      </c>
      <c r="C132" s="2">
        <v>161.18</v>
      </c>
      <c r="D132" s="2">
        <v>159.29</v>
      </c>
      <c r="E132" s="2">
        <v>160.5</v>
      </c>
      <c r="F132" s="2">
        <v>158.30000000000001</v>
      </c>
      <c r="G132" s="3">
        <v>7225700</v>
      </c>
    </row>
    <row r="133" spans="1:7" x14ac:dyDescent="0.3">
      <c r="A133" s="1">
        <v>45841</v>
      </c>
      <c r="B133" s="2">
        <v>161.79</v>
      </c>
      <c r="C133" s="2">
        <v>162.02000000000001</v>
      </c>
      <c r="D133" s="2">
        <v>159.79</v>
      </c>
      <c r="E133" s="2">
        <v>160.83000000000001</v>
      </c>
      <c r="F133" s="2">
        <v>158.63</v>
      </c>
      <c r="G133" s="3">
        <v>6999600</v>
      </c>
    </row>
    <row r="134" spans="1:7" x14ac:dyDescent="0.3">
      <c r="A134" s="1">
        <v>45840</v>
      </c>
      <c r="B134" s="2">
        <v>161.13999999999999</v>
      </c>
      <c r="C134" s="2">
        <v>161.35</v>
      </c>
      <c r="D134" s="2">
        <v>159.86000000000001</v>
      </c>
      <c r="E134" s="2">
        <v>161.19999999999999</v>
      </c>
      <c r="F134" s="2">
        <v>158.99</v>
      </c>
      <c r="G134" s="3">
        <v>8848700</v>
      </c>
    </row>
    <row r="135" spans="1:7" x14ac:dyDescent="0.3">
      <c r="A135" s="1">
        <v>45839</v>
      </c>
      <c r="B135" s="2">
        <v>159.88</v>
      </c>
      <c r="C135" s="2">
        <v>162.53</v>
      </c>
      <c r="D135" s="2">
        <v>159.38</v>
      </c>
      <c r="E135" s="2">
        <v>161.22</v>
      </c>
      <c r="F135" s="2">
        <v>159.01</v>
      </c>
      <c r="G135" s="3">
        <v>10664900</v>
      </c>
    </row>
    <row r="136" spans="1:7" x14ac:dyDescent="0.3">
      <c r="A136" s="1">
        <v>45838</v>
      </c>
      <c r="B136" s="2">
        <v>159.26</v>
      </c>
      <c r="C136" s="2">
        <v>159.9</v>
      </c>
      <c r="D136" s="2">
        <v>158.13</v>
      </c>
      <c r="E136" s="2">
        <v>159.32</v>
      </c>
      <c r="F136" s="2">
        <v>157.13999999999999</v>
      </c>
      <c r="G136" s="3">
        <v>11238200</v>
      </c>
    </row>
    <row r="137" spans="1:7" x14ac:dyDescent="0.3">
      <c r="A137" s="1">
        <v>45835</v>
      </c>
      <c r="B137" s="2">
        <v>158.68</v>
      </c>
      <c r="C137" s="2">
        <v>160.13</v>
      </c>
      <c r="D137" s="2">
        <v>158.29</v>
      </c>
      <c r="E137" s="2">
        <v>159.86000000000001</v>
      </c>
      <c r="F137" s="2">
        <v>157.66999999999999</v>
      </c>
      <c r="G137" s="3">
        <v>19257000</v>
      </c>
    </row>
    <row r="138" spans="1:7" x14ac:dyDescent="0.3">
      <c r="A138" s="1">
        <v>45834</v>
      </c>
      <c r="B138" s="2">
        <v>159.55000000000001</v>
      </c>
      <c r="C138" s="2">
        <v>159.56</v>
      </c>
      <c r="D138" s="2">
        <v>157.16999999999999</v>
      </c>
      <c r="E138" s="2">
        <v>158.63</v>
      </c>
      <c r="F138" s="2">
        <v>156.46</v>
      </c>
      <c r="G138" s="3">
        <v>7410400</v>
      </c>
    </row>
    <row r="139" spans="1:7" x14ac:dyDescent="0.3">
      <c r="A139" s="1">
        <v>45833</v>
      </c>
      <c r="B139" s="2">
        <v>159.82</v>
      </c>
      <c r="C139" s="2">
        <v>160.34</v>
      </c>
      <c r="D139" s="2">
        <v>158.71</v>
      </c>
      <c r="E139" s="2">
        <v>158.97</v>
      </c>
      <c r="F139" s="2">
        <v>156.79</v>
      </c>
      <c r="G139" s="3">
        <v>5933700</v>
      </c>
    </row>
    <row r="140" spans="1:7" x14ac:dyDescent="0.3">
      <c r="A140" s="1">
        <v>45832</v>
      </c>
      <c r="B140" s="2">
        <v>161.18</v>
      </c>
      <c r="C140" s="2">
        <v>161.74</v>
      </c>
      <c r="D140" s="2">
        <v>159.65</v>
      </c>
      <c r="E140" s="2">
        <v>160.36000000000001</v>
      </c>
      <c r="F140" s="2">
        <v>158.16</v>
      </c>
      <c r="G140" s="3">
        <v>7470100</v>
      </c>
    </row>
    <row r="141" spans="1:7" x14ac:dyDescent="0.3">
      <c r="A141" s="1">
        <v>45831</v>
      </c>
      <c r="B141" s="2">
        <v>159.07</v>
      </c>
      <c r="C141" s="2">
        <v>161.19</v>
      </c>
      <c r="D141" s="2">
        <v>159</v>
      </c>
      <c r="E141" s="2">
        <v>161.03</v>
      </c>
      <c r="F141" s="2">
        <v>158.83000000000001</v>
      </c>
      <c r="G141" s="3">
        <v>6588200</v>
      </c>
    </row>
    <row r="142" spans="1:7" x14ac:dyDescent="0.3">
      <c r="A142" s="1">
        <v>45828</v>
      </c>
      <c r="B142" s="2">
        <v>158.03</v>
      </c>
      <c r="C142" s="2">
        <v>159.34</v>
      </c>
      <c r="D142" s="2">
        <v>157.85</v>
      </c>
      <c r="E142" s="2">
        <v>159.08000000000001</v>
      </c>
      <c r="F142" s="2">
        <v>156.9</v>
      </c>
      <c r="G142" s="3">
        <v>16173400</v>
      </c>
    </row>
    <row r="143" spans="1:7" x14ac:dyDescent="0.3">
      <c r="A143" s="1">
        <v>45826</v>
      </c>
      <c r="B143" s="2">
        <v>158.55000000000001</v>
      </c>
      <c r="C143" s="2">
        <v>158.65</v>
      </c>
      <c r="D143" s="2">
        <v>157.66</v>
      </c>
      <c r="E143" s="2">
        <v>158.02000000000001</v>
      </c>
      <c r="F143" s="2">
        <v>155.86000000000001</v>
      </c>
      <c r="G143" s="3">
        <v>7211200</v>
      </c>
    </row>
    <row r="144" spans="1:7" x14ac:dyDescent="0.3">
      <c r="A144" s="1">
        <v>45825</v>
      </c>
      <c r="B144" s="2">
        <v>160.06</v>
      </c>
      <c r="C144" s="2">
        <v>160.37</v>
      </c>
      <c r="D144" s="2">
        <v>158.31</v>
      </c>
      <c r="E144" s="2">
        <v>158.52000000000001</v>
      </c>
      <c r="F144" s="2">
        <v>156.35</v>
      </c>
      <c r="G144" s="3">
        <v>6809700</v>
      </c>
    </row>
    <row r="145" spans="1:7" x14ac:dyDescent="0.3">
      <c r="A145" s="1">
        <v>45824</v>
      </c>
      <c r="B145" s="2">
        <v>160.88</v>
      </c>
      <c r="C145" s="2">
        <v>161.94999999999999</v>
      </c>
      <c r="D145" s="2">
        <v>160.01</v>
      </c>
      <c r="E145" s="2">
        <v>160.88</v>
      </c>
      <c r="F145" s="2">
        <v>158.68</v>
      </c>
      <c r="G145" s="3">
        <v>6332000</v>
      </c>
    </row>
    <row r="146" spans="1:7" x14ac:dyDescent="0.3">
      <c r="A146" s="1">
        <v>45821</v>
      </c>
      <c r="B146" s="2">
        <v>162.76</v>
      </c>
      <c r="C146" s="2">
        <v>163.03</v>
      </c>
      <c r="D146" s="2">
        <v>159.91</v>
      </c>
      <c r="E146" s="2">
        <v>160.28</v>
      </c>
      <c r="F146" s="2">
        <v>158.09</v>
      </c>
      <c r="G146" s="3">
        <v>7104500</v>
      </c>
    </row>
    <row r="147" spans="1:7" x14ac:dyDescent="0.3">
      <c r="A147" s="1">
        <v>45820</v>
      </c>
      <c r="B147" s="2">
        <v>161.97</v>
      </c>
      <c r="C147" s="2">
        <v>163.31</v>
      </c>
      <c r="D147" s="2">
        <v>161.68</v>
      </c>
      <c r="E147" s="2">
        <v>163.18</v>
      </c>
      <c r="F147" s="2">
        <v>160.94999999999999</v>
      </c>
      <c r="G147" s="3">
        <v>6509900</v>
      </c>
    </row>
    <row r="148" spans="1:7" x14ac:dyDescent="0.3">
      <c r="A148" s="1">
        <v>45819</v>
      </c>
      <c r="B148" s="2">
        <v>162.63</v>
      </c>
      <c r="C148" s="2">
        <v>162.77000000000001</v>
      </c>
      <c r="D148" s="2">
        <v>161.69</v>
      </c>
      <c r="E148" s="2">
        <v>162.11000000000001</v>
      </c>
      <c r="F148" s="2">
        <v>159.88999999999999</v>
      </c>
      <c r="G148" s="3">
        <v>5960100</v>
      </c>
    </row>
    <row r="149" spans="1:7" x14ac:dyDescent="0.3">
      <c r="A149" s="1">
        <v>45818</v>
      </c>
      <c r="B149" s="2">
        <v>162.69</v>
      </c>
      <c r="C149" s="2">
        <v>163.51</v>
      </c>
      <c r="D149" s="2">
        <v>161.91999999999999</v>
      </c>
      <c r="E149" s="2">
        <v>162.84</v>
      </c>
      <c r="F149" s="2">
        <v>160.61000000000001</v>
      </c>
      <c r="G149" s="3">
        <v>7680000</v>
      </c>
    </row>
    <row r="150" spans="1:7" x14ac:dyDescent="0.3">
      <c r="A150" s="1">
        <v>45817</v>
      </c>
      <c r="B150" s="2">
        <v>163.38999999999999</v>
      </c>
      <c r="C150" s="2">
        <v>164.02</v>
      </c>
      <c r="D150" s="2">
        <v>162.07</v>
      </c>
      <c r="E150" s="2">
        <v>162.56</v>
      </c>
      <c r="F150" s="2">
        <v>160.33000000000001</v>
      </c>
      <c r="G150" s="3">
        <v>6544200</v>
      </c>
    </row>
    <row r="151" spans="1:7" x14ac:dyDescent="0.3">
      <c r="A151" s="1">
        <v>45814</v>
      </c>
      <c r="B151" s="2">
        <v>163.29</v>
      </c>
      <c r="C151" s="2">
        <v>165.24</v>
      </c>
      <c r="D151" s="2">
        <v>163.28</v>
      </c>
      <c r="E151" s="2">
        <v>164.02</v>
      </c>
      <c r="F151" s="2">
        <v>161.77000000000001</v>
      </c>
      <c r="G151" s="3">
        <v>5697700</v>
      </c>
    </row>
    <row r="152" spans="1:7" x14ac:dyDescent="0.3">
      <c r="A152" s="1">
        <v>45813</v>
      </c>
      <c r="B152" s="2">
        <v>165.43</v>
      </c>
      <c r="C152" s="2">
        <v>165.44</v>
      </c>
      <c r="D152" s="2">
        <v>162.51</v>
      </c>
      <c r="E152" s="2">
        <v>162.80000000000001</v>
      </c>
      <c r="F152" s="2">
        <v>160.57</v>
      </c>
      <c r="G152" s="3">
        <v>10351800</v>
      </c>
    </row>
    <row r="153" spans="1:7" x14ac:dyDescent="0.3">
      <c r="A153" s="1">
        <v>45812</v>
      </c>
      <c r="B153" s="2">
        <v>166.69</v>
      </c>
      <c r="C153" s="2">
        <v>168.05</v>
      </c>
      <c r="D153" s="2">
        <v>165.92</v>
      </c>
      <c r="E153" s="2">
        <v>165.95</v>
      </c>
      <c r="F153" s="2">
        <v>163.68</v>
      </c>
      <c r="G153" s="3">
        <v>4939000</v>
      </c>
    </row>
    <row r="154" spans="1:7" x14ac:dyDescent="0.3">
      <c r="A154" s="1">
        <v>45811</v>
      </c>
      <c r="B154" s="2">
        <v>166.78</v>
      </c>
      <c r="C154" s="2">
        <v>167.41</v>
      </c>
      <c r="D154" s="2">
        <v>165.9</v>
      </c>
      <c r="E154" s="2">
        <v>166.85</v>
      </c>
      <c r="F154" s="2">
        <v>164.57</v>
      </c>
      <c r="G154" s="3">
        <v>6223000</v>
      </c>
    </row>
    <row r="155" spans="1:7" x14ac:dyDescent="0.3">
      <c r="A155" s="1">
        <v>45810</v>
      </c>
      <c r="B155" s="2">
        <v>169.02</v>
      </c>
      <c r="C155" s="2">
        <v>169.04</v>
      </c>
      <c r="D155" s="2">
        <v>166.23</v>
      </c>
      <c r="E155" s="2">
        <v>167.78</v>
      </c>
      <c r="F155" s="2">
        <v>165.48</v>
      </c>
      <c r="G155" s="3">
        <v>7574400</v>
      </c>
    </row>
    <row r="156" spans="1:7" x14ac:dyDescent="0.3">
      <c r="A156" s="1">
        <v>45807</v>
      </c>
      <c r="B156" s="2">
        <v>168.75</v>
      </c>
      <c r="C156" s="2">
        <v>170.99</v>
      </c>
      <c r="D156" s="2">
        <v>168.6</v>
      </c>
      <c r="E156" s="2">
        <v>169.89</v>
      </c>
      <c r="F156" s="2">
        <v>167.56</v>
      </c>
      <c r="G156" s="3">
        <v>12587500</v>
      </c>
    </row>
    <row r="157" spans="1:7" x14ac:dyDescent="0.3">
      <c r="A157" s="1">
        <v>45806</v>
      </c>
      <c r="B157" s="2">
        <v>166.74</v>
      </c>
      <c r="C157" s="2">
        <v>168.99</v>
      </c>
      <c r="D157" s="2">
        <v>166.44</v>
      </c>
      <c r="E157" s="2">
        <v>168.56</v>
      </c>
      <c r="F157" s="2">
        <v>166.25</v>
      </c>
      <c r="G157" s="3">
        <v>4842500</v>
      </c>
    </row>
    <row r="158" spans="1:7" x14ac:dyDescent="0.3">
      <c r="A158" s="1">
        <v>45805</v>
      </c>
      <c r="B158" s="2">
        <v>167.65</v>
      </c>
      <c r="C158" s="2">
        <v>168.84</v>
      </c>
      <c r="D158" s="2">
        <v>167.06</v>
      </c>
      <c r="E158" s="2">
        <v>167.36</v>
      </c>
      <c r="F158" s="2">
        <v>165.07</v>
      </c>
      <c r="G158" s="3">
        <v>5385900</v>
      </c>
    </row>
    <row r="159" spans="1:7" x14ac:dyDescent="0.3">
      <c r="A159" s="1">
        <v>45804</v>
      </c>
      <c r="B159" s="2">
        <v>165.27</v>
      </c>
      <c r="C159" s="2">
        <v>167.98</v>
      </c>
      <c r="D159" s="2">
        <v>165.27</v>
      </c>
      <c r="E159" s="2">
        <v>167.76</v>
      </c>
      <c r="F159" s="2">
        <v>165.46</v>
      </c>
      <c r="G159" s="3">
        <v>11423800</v>
      </c>
    </row>
    <row r="160" spans="1:7" x14ac:dyDescent="0.3">
      <c r="A160" s="1">
        <v>45800</v>
      </c>
      <c r="B160" s="2">
        <v>164.83</v>
      </c>
      <c r="C160" s="2">
        <v>166.22</v>
      </c>
      <c r="D160" s="2">
        <v>163.47999999999999</v>
      </c>
      <c r="E160" s="2">
        <v>165.86</v>
      </c>
      <c r="F160" s="2">
        <v>163.59</v>
      </c>
      <c r="G160" s="3">
        <v>5349800</v>
      </c>
    </row>
    <row r="161" spans="1:7" x14ac:dyDescent="0.3">
      <c r="A161" s="1">
        <v>45799</v>
      </c>
      <c r="B161" s="2">
        <v>164.44</v>
      </c>
      <c r="C161" s="2">
        <v>166.2</v>
      </c>
      <c r="D161" s="2">
        <v>164.02</v>
      </c>
      <c r="E161" s="2">
        <v>165.03</v>
      </c>
      <c r="F161" s="2">
        <v>162.77000000000001</v>
      </c>
      <c r="G161" s="3">
        <v>6245600</v>
      </c>
    </row>
    <row r="162" spans="1:7" x14ac:dyDescent="0.3">
      <c r="A162" s="1">
        <v>45798</v>
      </c>
      <c r="B162" s="2">
        <v>164.82</v>
      </c>
      <c r="C162" s="2">
        <v>166.37</v>
      </c>
      <c r="D162" s="2">
        <v>164.62</v>
      </c>
      <c r="E162" s="2">
        <v>165.43</v>
      </c>
      <c r="F162" s="2">
        <v>163.16999999999999</v>
      </c>
      <c r="G162" s="3">
        <v>6424200</v>
      </c>
    </row>
    <row r="163" spans="1:7" x14ac:dyDescent="0.3">
      <c r="A163" s="1">
        <v>45797</v>
      </c>
      <c r="B163" s="2">
        <v>164.61</v>
      </c>
      <c r="C163" s="2">
        <v>166</v>
      </c>
      <c r="D163" s="2">
        <v>164.6</v>
      </c>
      <c r="E163" s="2">
        <v>165.64</v>
      </c>
      <c r="F163" s="2">
        <v>163.37</v>
      </c>
      <c r="G163" s="3">
        <v>5576600</v>
      </c>
    </row>
    <row r="164" spans="1:7" x14ac:dyDescent="0.3">
      <c r="A164" s="1">
        <v>45796</v>
      </c>
      <c r="B164" s="2">
        <v>163.47</v>
      </c>
      <c r="C164" s="2">
        <v>165.15</v>
      </c>
      <c r="D164" s="2">
        <v>163.41</v>
      </c>
      <c r="E164" s="2">
        <v>164.77</v>
      </c>
      <c r="F164" s="2">
        <v>162.51</v>
      </c>
      <c r="G164" s="3">
        <v>8119900</v>
      </c>
    </row>
    <row r="165" spans="1:7" x14ac:dyDescent="0.3">
      <c r="A165" s="1">
        <v>45793</v>
      </c>
      <c r="B165" s="2">
        <v>162.65</v>
      </c>
      <c r="C165" s="2">
        <v>163.43</v>
      </c>
      <c r="D165" s="2">
        <v>161.85</v>
      </c>
      <c r="E165" s="2">
        <v>163.28</v>
      </c>
      <c r="F165" s="2">
        <v>161.04</v>
      </c>
      <c r="G165" s="3">
        <v>7100800</v>
      </c>
    </row>
    <row r="166" spans="1:7" x14ac:dyDescent="0.3">
      <c r="A166" s="1">
        <v>45792</v>
      </c>
      <c r="B166" s="2">
        <v>159.59</v>
      </c>
      <c r="C166" s="2">
        <v>162.91</v>
      </c>
      <c r="D166" s="2">
        <v>158.69999999999999</v>
      </c>
      <c r="E166" s="2">
        <v>162.41</v>
      </c>
      <c r="F166" s="2">
        <v>160.19</v>
      </c>
      <c r="G166" s="3">
        <v>8727300</v>
      </c>
    </row>
    <row r="167" spans="1:7" x14ac:dyDescent="0.3">
      <c r="A167" s="1">
        <v>45791</v>
      </c>
      <c r="B167" s="2">
        <v>158.12</v>
      </c>
      <c r="C167" s="2">
        <v>159.16</v>
      </c>
      <c r="D167" s="2">
        <v>157.57</v>
      </c>
      <c r="E167" s="2">
        <v>158.02000000000001</v>
      </c>
      <c r="F167" s="2">
        <v>155.86000000000001</v>
      </c>
      <c r="G167" s="3">
        <v>5988900</v>
      </c>
    </row>
    <row r="168" spans="1:7" x14ac:dyDescent="0.3">
      <c r="A168" s="1">
        <v>45790</v>
      </c>
      <c r="B168" s="2">
        <v>160.02000000000001</v>
      </c>
      <c r="C168" s="2">
        <v>160.72</v>
      </c>
      <c r="D168" s="2">
        <v>157.36000000000001</v>
      </c>
      <c r="E168" s="2">
        <v>158.72999999999999</v>
      </c>
      <c r="F168" s="2">
        <v>156.56</v>
      </c>
      <c r="G168" s="3">
        <v>7780800</v>
      </c>
    </row>
    <row r="169" spans="1:7" x14ac:dyDescent="0.3">
      <c r="A169" s="1">
        <v>45789</v>
      </c>
      <c r="B169" s="2">
        <v>157.43</v>
      </c>
      <c r="C169" s="2">
        <v>161.05000000000001</v>
      </c>
      <c r="D169" s="2">
        <v>156.69</v>
      </c>
      <c r="E169" s="2">
        <v>160.9</v>
      </c>
      <c r="F169" s="2">
        <v>158.69999999999999</v>
      </c>
      <c r="G169" s="3">
        <v>7378400</v>
      </c>
    </row>
    <row r="170" spans="1:7" x14ac:dyDescent="0.3">
      <c r="A170" s="1">
        <v>45786</v>
      </c>
      <c r="B170" s="2">
        <v>158.02000000000001</v>
      </c>
      <c r="C170" s="2">
        <v>159.13</v>
      </c>
      <c r="D170" s="2">
        <v>157.41</v>
      </c>
      <c r="E170" s="2">
        <v>157.66</v>
      </c>
      <c r="F170" s="2">
        <v>155.5</v>
      </c>
      <c r="G170" s="3">
        <v>6453200</v>
      </c>
    </row>
    <row r="171" spans="1:7" x14ac:dyDescent="0.3">
      <c r="A171" s="1">
        <v>45785</v>
      </c>
      <c r="B171" s="2">
        <v>158.38</v>
      </c>
      <c r="C171" s="2">
        <v>160</v>
      </c>
      <c r="D171" s="2">
        <v>158.01</v>
      </c>
      <c r="E171" s="2">
        <v>158.65</v>
      </c>
      <c r="F171" s="2">
        <v>156.47999999999999</v>
      </c>
      <c r="G171" s="3">
        <v>7230800</v>
      </c>
    </row>
    <row r="172" spans="1:7" x14ac:dyDescent="0.3">
      <c r="A172" s="1">
        <v>45784</v>
      </c>
      <c r="B172" s="2">
        <v>159.02000000000001</v>
      </c>
      <c r="C172" s="2">
        <v>160.05000000000001</v>
      </c>
      <c r="D172" s="2">
        <v>158.54</v>
      </c>
      <c r="E172" s="2">
        <v>159.29</v>
      </c>
      <c r="F172" s="2">
        <v>157.11000000000001</v>
      </c>
      <c r="G172" s="3">
        <v>6430000</v>
      </c>
    </row>
    <row r="173" spans="1:7" x14ac:dyDescent="0.3">
      <c r="A173" s="1">
        <v>45783</v>
      </c>
      <c r="B173" s="2">
        <v>158.04</v>
      </c>
      <c r="C173" s="2">
        <v>159.71</v>
      </c>
      <c r="D173" s="2">
        <v>157.65</v>
      </c>
      <c r="E173" s="2">
        <v>159.25</v>
      </c>
      <c r="F173" s="2">
        <v>157.07</v>
      </c>
      <c r="G173" s="3">
        <v>7703800</v>
      </c>
    </row>
    <row r="174" spans="1:7" x14ac:dyDescent="0.3">
      <c r="A174" s="1">
        <v>45782</v>
      </c>
      <c r="B174" s="2">
        <v>160.88999999999999</v>
      </c>
      <c r="C174" s="2">
        <v>160.91</v>
      </c>
      <c r="D174" s="2">
        <v>158.02000000000001</v>
      </c>
      <c r="E174" s="2">
        <v>158.83000000000001</v>
      </c>
      <c r="F174" s="2">
        <v>156.66</v>
      </c>
      <c r="G174" s="3">
        <v>7576200</v>
      </c>
    </row>
    <row r="175" spans="1:7" x14ac:dyDescent="0.3">
      <c r="A175" s="1">
        <v>45779</v>
      </c>
      <c r="B175" s="2">
        <v>160.93</v>
      </c>
      <c r="C175" s="2">
        <v>161.81</v>
      </c>
      <c r="D175" s="2">
        <v>159.9</v>
      </c>
      <c r="E175" s="2">
        <v>160.52000000000001</v>
      </c>
      <c r="F175" s="2">
        <v>158.32</v>
      </c>
      <c r="G175" s="3">
        <v>5750200</v>
      </c>
    </row>
    <row r="176" spans="1:7" x14ac:dyDescent="0.3">
      <c r="A176" s="1">
        <v>45778</v>
      </c>
      <c r="B176" s="2">
        <v>160.66</v>
      </c>
      <c r="C176" s="2">
        <v>161.35</v>
      </c>
      <c r="D176" s="2">
        <v>159.05000000000001</v>
      </c>
      <c r="E176" s="2">
        <v>159.97999999999999</v>
      </c>
      <c r="F176" s="2">
        <v>157.79</v>
      </c>
      <c r="G176" s="3">
        <v>6792800</v>
      </c>
    </row>
    <row r="177" spans="1:7" x14ac:dyDescent="0.3">
      <c r="A177" s="1">
        <v>45777</v>
      </c>
      <c r="B177" s="2">
        <v>162.44999999999999</v>
      </c>
      <c r="C177" s="2">
        <v>163.16</v>
      </c>
      <c r="D177" s="2">
        <v>159.94999999999999</v>
      </c>
      <c r="E177" s="2">
        <v>162.57</v>
      </c>
      <c r="F177" s="2">
        <v>160.34</v>
      </c>
      <c r="G177" s="3">
        <v>12475500</v>
      </c>
    </row>
    <row r="178" spans="1:7" x14ac:dyDescent="0.3">
      <c r="A178" s="1">
        <v>45776</v>
      </c>
      <c r="B178" s="2">
        <v>161.29</v>
      </c>
      <c r="C178" s="2">
        <v>162.38999999999999</v>
      </c>
      <c r="D178" s="2">
        <v>159.19999999999999</v>
      </c>
      <c r="E178" s="2">
        <v>162.26</v>
      </c>
      <c r="F178" s="2">
        <v>160.04</v>
      </c>
      <c r="G178" s="3">
        <v>8266200</v>
      </c>
    </row>
    <row r="179" spans="1:7" x14ac:dyDescent="0.3">
      <c r="A179" s="1">
        <v>45775</v>
      </c>
      <c r="B179" s="2">
        <v>161.04</v>
      </c>
      <c r="C179" s="2">
        <v>162.56</v>
      </c>
      <c r="D179" s="2">
        <v>160.38999999999999</v>
      </c>
      <c r="E179" s="2">
        <v>161.85</v>
      </c>
      <c r="F179" s="2">
        <v>159.63</v>
      </c>
      <c r="G179" s="3">
        <v>8127000</v>
      </c>
    </row>
    <row r="180" spans="1:7" x14ac:dyDescent="0.3">
      <c r="A180" s="1">
        <v>45772</v>
      </c>
      <c r="B180" s="2">
        <v>159.88</v>
      </c>
      <c r="C180" s="2">
        <v>161.80000000000001</v>
      </c>
      <c r="D180" s="2">
        <v>157.77000000000001</v>
      </c>
      <c r="E180" s="2">
        <v>161.02000000000001</v>
      </c>
      <c r="F180" s="2">
        <v>158.82</v>
      </c>
      <c r="G180" s="3">
        <v>12892800</v>
      </c>
    </row>
    <row r="181" spans="1:7" x14ac:dyDescent="0.3">
      <c r="A181" s="1">
        <v>45771</v>
      </c>
      <c r="B181" s="2">
        <v>160.5</v>
      </c>
      <c r="C181" s="2">
        <v>160.96</v>
      </c>
      <c r="D181" s="2">
        <v>156.58000000000001</v>
      </c>
      <c r="E181" s="2">
        <v>159.53</v>
      </c>
      <c r="F181" s="2">
        <v>157.35</v>
      </c>
      <c r="G181" s="3">
        <v>20077700</v>
      </c>
    </row>
    <row r="182" spans="1:7" x14ac:dyDescent="0.3">
      <c r="A182" s="1">
        <v>45770</v>
      </c>
      <c r="B182" s="2">
        <v>166.4</v>
      </c>
      <c r="C182" s="2">
        <v>166.61</v>
      </c>
      <c r="D182" s="2">
        <v>163.11000000000001</v>
      </c>
      <c r="E182" s="2">
        <v>165.73</v>
      </c>
      <c r="F182" s="2">
        <v>163.47999999999999</v>
      </c>
      <c r="G182" s="3">
        <v>9309200</v>
      </c>
    </row>
    <row r="183" spans="1:7" x14ac:dyDescent="0.3">
      <c r="A183" s="1">
        <v>45769</v>
      </c>
      <c r="B183" s="2">
        <v>165.86</v>
      </c>
      <c r="C183" s="2">
        <v>168.77</v>
      </c>
      <c r="D183" s="2">
        <v>164.54</v>
      </c>
      <c r="E183" s="2">
        <v>167.88</v>
      </c>
      <c r="F183" s="2">
        <v>165.58</v>
      </c>
      <c r="G183" s="3">
        <v>7907400</v>
      </c>
    </row>
    <row r="184" spans="1:7" x14ac:dyDescent="0.3">
      <c r="A184" s="1">
        <v>45768</v>
      </c>
      <c r="B184" s="2">
        <v>169.89</v>
      </c>
      <c r="C184" s="2">
        <v>169.95</v>
      </c>
      <c r="D184" s="2">
        <v>164.28</v>
      </c>
      <c r="E184" s="2">
        <v>165.75</v>
      </c>
      <c r="F184" s="2">
        <v>163.47999999999999</v>
      </c>
      <c r="G184" s="3">
        <v>8062400</v>
      </c>
    </row>
    <row r="185" spans="1:7" x14ac:dyDescent="0.3">
      <c r="A185" s="1">
        <v>45764</v>
      </c>
      <c r="B185" s="2">
        <v>167.53</v>
      </c>
      <c r="C185" s="2">
        <v>171.65</v>
      </c>
      <c r="D185" s="2">
        <v>167.35</v>
      </c>
      <c r="E185" s="2">
        <v>170.63</v>
      </c>
      <c r="F185" s="2">
        <v>167.25</v>
      </c>
      <c r="G185" s="3">
        <v>7227100</v>
      </c>
    </row>
    <row r="186" spans="1:7" x14ac:dyDescent="0.3">
      <c r="A186" s="1">
        <v>45763</v>
      </c>
      <c r="B186" s="2">
        <v>169.29</v>
      </c>
      <c r="C186" s="2">
        <v>169.68</v>
      </c>
      <c r="D186" s="2">
        <v>165.79</v>
      </c>
      <c r="E186" s="2">
        <v>166.39</v>
      </c>
      <c r="F186" s="2">
        <v>163.1</v>
      </c>
      <c r="G186" s="3">
        <v>5897500</v>
      </c>
    </row>
    <row r="187" spans="1:7" x14ac:dyDescent="0.3">
      <c r="A187" s="1">
        <v>45762</v>
      </c>
      <c r="B187" s="2">
        <v>169.14</v>
      </c>
      <c r="C187" s="2">
        <v>170.16</v>
      </c>
      <c r="D187" s="2">
        <v>168.28</v>
      </c>
      <c r="E187" s="2">
        <v>168.47</v>
      </c>
      <c r="F187" s="2">
        <v>165.13</v>
      </c>
      <c r="G187" s="3">
        <v>8765000</v>
      </c>
    </row>
    <row r="188" spans="1:7" x14ac:dyDescent="0.3">
      <c r="A188" s="1">
        <v>45761</v>
      </c>
      <c r="B188" s="2">
        <v>167.04</v>
      </c>
      <c r="C188" s="2">
        <v>170.11</v>
      </c>
      <c r="D188" s="2">
        <v>165.78</v>
      </c>
      <c r="E188" s="2">
        <v>169.13</v>
      </c>
      <c r="F188" s="2">
        <v>165.78</v>
      </c>
      <c r="G188" s="3">
        <v>9877300</v>
      </c>
    </row>
    <row r="189" spans="1:7" x14ac:dyDescent="0.3">
      <c r="A189" s="1">
        <v>45758</v>
      </c>
      <c r="B189" s="2">
        <v>163.37</v>
      </c>
      <c r="C189" s="2">
        <v>168.02</v>
      </c>
      <c r="D189" s="2">
        <v>162.62</v>
      </c>
      <c r="E189" s="2">
        <v>166.91</v>
      </c>
      <c r="F189" s="2">
        <v>163.61000000000001</v>
      </c>
      <c r="G189" s="3">
        <v>8602800</v>
      </c>
    </row>
    <row r="190" spans="1:7" x14ac:dyDescent="0.3">
      <c r="A190" s="1">
        <v>45757</v>
      </c>
      <c r="B190" s="2">
        <v>162.9</v>
      </c>
      <c r="C190" s="2">
        <v>165.07</v>
      </c>
      <c r="D190" s="2">
        <v>160.75</v>
      </c>
      <c r="E190" s="2">
        <v>163.56</v>
      </c>
      <c r="F190" s="2">
        <v>160.32</v>
      </c>
      <c r="G190" s="3">
        <v>10581600</v>
      </c>
    </row>
    <row r="191" spans="1:7" x14ac:dyDescent="0.3">
      <c r="A191" s="1">
        <v>45756</v>
      </c>
      <c r="B191" s="2">
        <v>157.36000000000001</v>
      </c>
      <c r="C191" s="2">
        <v>164.68</v>
      </c>
      <c r="D191" s="2">
        <v>156.69</v>
      </c>
      <c r="E191" s="2">
        <v>162.32</v>
      </c>
      <c r="F191" s="2">
        <v>159.11000000000001</v>
      </c>
      <c r="G191" s="3">
        <v>10670200</v>
      </c>
    </row>
    <row r="192" spans="1:7" x14ac:dyDescent="0.3">
      <c r="A192" s="1">
        <v>45755</v>
      </c>
      <c r="B192" s="2">
        <v>162.31</v>
      </c>
      <c r="C192" s="2">
        <v>163.28</v>
      </c>
      <c r="D192" s="2">
        <v>156.71</v>
      </c>
      <c r="E192" s="2">
        <v>158.38999999999999</v>
      </c>
      <c r="F192" s="2">
        <v>155.25</v>
      </c>
      <c r="G192" s="3">
        <v>11541100</v>
      </c>
    </row>
    <row r="193" spans="1:7" x14ac:dyDescent="0.3">
      <c r="A193" s="1">
        <v>45754</v>
      </c>
      <c r="B193" s="2">
        <v>163.66</v>
      </c>
      <c r="C193" s="2">
        <v>164.7</v>
      </c>
      <c r="D193" s="2">
        <v>159.19</v>
      </c>
      <c r="E193" s="2">
        <v>160.22999999999999</v>
      </c>
      <c r="F193" s="2">
        <v>157.06</v>
      </c>
      <c r="G193" s="3">
        <v>15708000</v>
      </c>
    </row>
    <row r="194" spans="1:7" x14ac:dyDescent="0.3">
      <c r="A194" s="1">
        <v>45751</v>
      </c>
      <c r="B194" s="2">
        <v>171.77</v>
      </c>
      <c r="C194" s="2">
        <v>173.6</v>
      </c>
      <c r="D194" s="2">
        <v>163.47</v>
      </c>
      <c r="E194" s="2">
        <v>163.75</v>
      </c>
      <c r="F194" s="2">
        <v>160.51</v>
      </c>
      <c r="G194" s="3">
        <v>13454200</v>
      </c>
    </row>
    <row r="195" spans="1:7" x14ac:dyDescent="0.3">
      <c r="A195" s="1">
        <v>45750</v>
      </c>
      <c r="B195" s="2">
        <v>174.23</v>
      </c>
      <c r="C195" s="2">
        <v>174.8</v>
      </c>
      <c r="D195" s="2">
        <v>170.73</v>
      </c>
      <c r="E195" s="2">
        <v>172.39</v>
      </c>
      <c r="F195" s="2">
        <v>168.98</v>
      </c>
      <c r="G195" s="3">
        <v>9393300</v>
      </c>
    </row>
    <row r="196" spans="1:7" x14ac:dyDescent="0.3">
      <c r="A196" s="1">
        <v>45749</v>
      </c>
      <c r="B196" s="2">
        <v>170.07</v>
      </c>
      <c r="C196" s="2">
        <v>170.88</v>
      </c>
      <c r="D196" s="2">
        <v>168.31</v>
      </c>
      <c r="E196" s="2">
        <v>169.5</v>
      </c>
      <c r="F196" s="2">
        <v>166.14</v>
      </c>
      <c r="G196" s="3">
        <v>6274500</v>
      </c>
    </row>
    <row r="197" spans="1:7" x14ac:dyDescent="0.3">
      <c r="A197" s="1">
        <v>45748</v>
      </c>
      <c r="B197" s="2">
        <v>170.57</v>
      </c>
      <c r="C197" s="2">
        <v>171.05</v>
      </c>
      <c r="D197" s="2">
        <v>169.06</v>
      </c>
      <c r="E197" s="2">
        <v>170.56</v>
      </c>
      <c r="F197" s="2">
        <v>167.18</v>
      </c>
      <c r="G197" s="3">
        <v>7021100</v>
      </c>
    </row>
    <row r="198" spans="1:7" x14ac:dyDescent="0.3">
      <c r="A198" s="1">
        <v>45747</v>
      </c>
      <c r="B198" s="2">
        <v>168.1</v>
      </c>
      <c r="C198" s="2">
        <v>171.14</v>
      </c>
      <c r="D198" s="2">
        <v>168.1</v>
      </c>
      <c r="E198" s="2">
        <v>170.42</v>
      </c>
      <c r="F198" s="2">
        <v>167.05</v>
      </c>
      <c r="G198" s="3">
        <v>11520100</v>
      </c>
    </row>
    <row r="199" spans="1:7" x14ac:dyDescent="0.3">
      <c r="A199" s="1">
        <v>45744</v>
      </c>
      <c r="B199" s="2">
        <v>169.38</v>
      </c>
      <c r="C199" s="2">
        <v>169.71</v>
      </c>
      <c r="D199" s="2">
        <v>167.62</v>
      </c>
      <c r="E199" s="2">
        <v>168.03</v>
      </c>
      <c r="F199" s="2">
        <v>164.7</v>
      </c>
      <c r="G199" s="3">
        <v>5479100</v>
      </c>
    </row>
    <row r="200" spans="1:7" x14ac:dyDescent="0.3">
      <c r="A200" s="1">
        <v>45743</v>
      </c>
      <c r="B200" s="2">
        <v>167.87</v>
      </c>
      <c r="C200" s="2">
        <v>169.03</v>
      </c>
      <c r="D200" s="2">
        <v>166.62</v>
      </c>
      <c r="E200" s="2">
        <v>168.71</v>
      </c>
      <c r="F200" s="2">
        <v>165.37</v>
      </c>
      <c r="G200" s="3">
        <v>6211700</v>
      </c>
    </row>
    <row r="201" spans="1:7" x14ac:dyDescent="0.3">
      <c r="A201" s="1">
        <v>45742</v>
      </c>
      <c r="B201" s="2">
        <v>163.35</v>
      </c>
      <c r="C201" s="2">
        <v>166.82</v>
      </c>
      <c r="D201" s="2">
        <v>162.99</v>
      </c>
      <c r="E201" s="2">
        <v>166.58</v>
      </c>
      <c r="F201" s="2">
        <v>163.28</v>
      </c>
      <c r="G201" s="3">
        <v>7756000</v>
      </c>
    </row>
    <row r="202" spans="1:7" x14ac:dyDescent="0.3">
      <c r="A202" s="1">
        <v>45741</v>
      </c>
      <c r="B202" s="2">
        <v>165.3</v>
      </c>
      <c r="C202" s="2">
        <v>165.37</v>
      </c>
      <c r="D202" s="2">
        <v>162.19999999999999</v>
      </c>
      <c r="E202" s="2">
        <v>162.85</v>
      </c>
      <c r="F202" s="2">
        <v>159.63</v>
      </c>
      <c r="G202" s="3">
        <v>8366700</v>
      </c>
    </row>
    <row r="203" spans="1:7" x14ac:dyDescent="0.3">
      <c r="A203" s="1">
        <v>45740</v>
      </c>
      <c r="B203" s="2">
        <v>166.43</v>
      </c>
      <c r="C203" s="2">
        <v>166.87</v>
      </c>
      <c r="D203" s="2">
        <v>165.36</v>
      </c>
      <c r="E203" s="2">
        <v>165.65</v>
      </c>
      <c r="F203" s="2">
        <v>162.37</v>
      </c>
      <c r="G203" s="3">
        <v>6102100</v>
      </c>
    </row>
    <row r="204" spans="1:7" x14ac:dyDescent="0.3">
      <c r="A204" s="1">
        <v>45737</v>
      </c>
      <c r="B204" s="2">
        <v>167.14</v>
      </c>
      <c r="C204" s="2">
        <v>168.14</v>
      </c>
      <c r="D204" s="2">
        <v>164.12</v>
      </c>
      <c r="E204" s="2">
        <v>166.69</v>
      </c>
      <c r="F204" s="2">
        <v>163.38999999999999</v>
      </c>
      <c r="G204" s="3">
        <v>16027300</v>
      </c>
    </row>
    <row r="205" spans="1:7" x14ac:dyDescent="0.3">
      <c r="A205" s="1">
        <v>45736</v>
      </c>
      <c r="B205" s="2">
        <v>168.89</v>
      </c>
      <c r="C205" s="2">
        <v>169.21</v>
      </c>
      <c r="D205" s="2">
        <v>166.03</v>
      </c>
      <c r="E205" s="2">
        <v>167.55</v>
      </c>
      <c r="F205" s="2">
        <v>164.23</v>
      </c>
      <c r="G205" s="3">
        <v>8789200</v>
      </c>
    </row>
    <row r="206" spans="1:7" x14ac:dyDescent="0.3">
      <c r="A206" s="1">
        <v>45735</v>
      </c>
      <c r="B206" s="2">
        <v>167.87</v>
      </c>
      <c r="C206" s="2">
        <v>168.75</v>
      </c>
      <c r="D206" s="2">
        <v>167.11</v>
      </c>
      <c r="E206" s="2">
        <v>168.57</v>
      </c>
      <c r="F206" s="2">
        <v>165.23</v>
      </c>
      <c r="G206" s="3">
        <v>7569200</v>
      </c>
    </row>
    <row r="207" spans="1:7" x14ac:dyDescent="0.3">
      <c r="A207" s="1">
        <v>45734</v>
      </c>
      <c r="B207" s="2">
        <v>170.07</v>
      </c>
      <c r="C207" s="2">
        <v>170.26</v>
      </c>
      <c r="D207" s="2">
        <v>167.58</v>
      </c>
      <c r="E207" s="2">
        <v>167.71</v>
      </c>
      <c r="F207" s="2">
        <v>164.39</v>
      </c>
      <c r="G207" s="3">
        <v>6099900</v>
      </c>
    </row>
    <row r="208" spans="1:7" x14ac:dyDescent="0.3">
      <c r="A208" s="1">
        <v>45733</v>
      </c>
      <c r="B208" s="2">
        <v>168.37</v>
      </c>
      <c r="C208" s="2">
        <v>171.09</v>
      </c>
      <c r="D208" s="2">
        <v>168.13</v>
      </c>
      <c r="E208" s="2">
        <v>169.76</v>
      </c>
      <c r="F208" s="2">
        <v>166.4</v>
      </c>
      <c r="G208" s="3">
        <v>9931700</v>
      </c>
    </row>
    <row r="209" spans="1:7" x14ac:dyDescent="0.3">
      <c r="A209" s="1">
        <v>45730</v>
      </c>
      <c r="B209" s="2">
        <v>167.79</v>
      </c>
      <c r="C209" s="2">
        <v>168.59</v>
      </c>
      <c r="D209" s="2">
        <v>166.62</v>
      </c>
      <c r="E209" s="2">
        <v>167.97</v>
      </c>
      <c r="F209" s="2">
        <v>164.64</v>
      </c>
      <c r="G209" s="3">
        <v>6790500</v>
      </c>
    </row>
    <row r="210" spans="1:7" x14ac:dyDescent="0.3">
      <c r="A210" s="1">
        <v>45729</v>
      </c>
      <c r="B210" s="2">
        <v>167.7</v>
      </c>
      <c r="C210" s="2">
        <v>169.29</v>
      </c>
      <c r="D210" s="2">
        <v>167.28</v>
      </c>
      <c r="E210" s="2">
        <v>168.59</v>
      </c>
      <c r="F210" s="2">
        <v>165.25</v>
      </c>
      <c r="G210" s="3">
        <v>6609000</v>
      </c>
    </row>
    <row r="211" spans="1:7" x14ac:dyDescent="0.3">
      <c r="A211" s="1">
        <v>45728</v>
      </c>
      <c r="B211" s="2">
        <v>169.7</v>
      </c>
      <c r="C211" s="2">
        <v>171.83</v>
      </c>
      <c r="D211" s="2">
        <v>167.77</v>
      </c>
      <c r="E211" s="2">
        <v>168.37</v>
      </c>
      <c r="F211" s="2">
        <v>165.04</v>
      </c>
      <c r="G211" s="3">
        <v>10158800</v>
      </c>
    </row>
    <row r="212" spans="1:7" x14ac:dyDescent="0.3">
      <c r="A212" s="1">
        <v>45727</v>
      </c>
      <c r="B212" s="2">
        <v>175.83</v>
      </c>
      <c r="C212" s="2">
        <v>175.99</v>
      </c>
      <c r="D212" s="2">
        <v>172.32</v>
      </c>
      <c r="E212" s="2">
        <v>173.12</v>
      </c>
      <c r="F212" s="2">
        <v>169.69</v>
      </c>
      <c r="G212" s="3">
        <v>11032300</v>
      </c>
    </row>
    <row r="213" spans="1:7" x14ac:dyDescent="0.3">
      <c r="A213" s="1">
        <v>45726</v>
      </c>
      <c r="B213" s="2">
        <v>176.76</v>
      </c>
      <c r="C213" s="2">
        <v>179.99</v>
      </c>
      <c r="D213" s="2">
        <v>175.83</v>
      </c>
      <c r="E213" s="2">
        <v>176.26</v>
      </c>
      <c r="F213" s="2">
        <v>172.77</v>
      </c>
      <c r="G213" s="3">
        <v>11047000</v>
      </c>
    </row>
    <row r="214" spans="1:7" x14ac:dyDescent="0.3">
      <c r="A214" s="1">
        <v>45723</v>
      </c>
      <c r="B214" s="2">
        <v>174.09</v>
      </c>
      <c r="C214" s="2">
        <v>178.89</v>
      </c>
      <c r="D214" s="2">
        <v>174.05</v>
      </c>
      <c r="E214" s="2">
        <v>175.95</v>
      </c>
      <c r="F214" s="2">
        <v>172.47</v>
      </c>
      <c r="G214" s="3">
        <v>9566700</v>
      </c>
    </row>
    <row r="215" spans="1:7" x14ac:dyDescent="0.3">
      <c r="A215" s="1">
        <v>45722</v>
      </c>
      <c r="B215" s="2">
        <v>174.89</v>
      </c>
      <c r="C215" s="2">
        <v>175.84</v>
      </c>
      <c r="D215" s="2">
        <v>172.84</v>
      </c>
      <c r="E215" s="2">
        <v>174.66</v>
      </c>
      <c r="F215" s="2">
        <v>171.2</v>
      </c>
      <c r="G215" s="3">
        <v>6702500</v>
      </c>
    </row>
    <row r="216" spans="1:7" x14ac:dyDescent="0.3">
      <c r="A216" s="1">
        <v>45721</v>
      </c>
      <c r="B216" s="2">
        <v>173.38</v>
      </c>
      <c r="C216" s="2">
        <v>175.87</v>
      </c>
      <c r="D216" s="2">
        <v>173.02</v>
      </c>
      <c r="E216" s="2">
        <v>174.61</v>
      </c>
      <c r="F216" s="2">
        <v>171.15</v>
      </c>
      <c r="G216" s="3">
        <v>6989100</v>
      </c>
    </row>
    <row r="217" spans="1:7" x14ac:dyDescent="0.3">
      <c r="A217" s="1">
        <v>45720</v>
      </c>
      <c r="B217" s="2">
        <v>176.75</v>
      </c>
      <c r="C217" s="2">
        <v>179.99</v>
      </c>
      <c r="D217" s="2">
        <v>172.91</v>
      </c>
      <c r="E217" s="2">
        <v>173.18</v>
      </c>
      <c r="F217" s="2">
        <v>169.75</v>
      </c>
      <c r="G217" s="3">
        <v>12117600</v>
      </c>
    </row>
    <row r="218" spans="1:7" x14ac:dyDescent="0.3">
      <c r="A218" s="1">
        <v>45719</v>
      </c>
      <c r="B218" s="2">
        <v>173.58</v>
      </c>
      <c r="C218" s="2">
        <v>176.29</v>
      </c>
      <c r="D218" s="2">
        <v>173.51</v>
      </c>
      <c r="E218" s="2">
        <v>175.59</v>
      </c>
      <c r="F218" s="2">
        <v>172.11</v>
      </c>
      <c r="G218" s="3">
        <v>7615300</v>
      </c>
    </row>
    <row r="219" spans="1:7" x14ac:dyDescent="0.3">
      <c r="A219" s="1">
        <v>45716</v>
      </c>
      <c r="B219" s="2">
        <v>173.58</v>
      </c>
      <c r="C219" s="2">
        <v>174.65</v>
      </c>
      <c r="D219" s="2">
        <v>171.85</v>
      </c>
      <c r="E219" s="2">
        <v>173.84</v>
      </c>
      <c r="F219" s="2">
        <v>170.4</v>
      </c>
      <c r="G219" s="3">
        <v>10240100</v>
      </c>
    </row>
    <row r="220" spans="1:7" x14ac:dyDescent="0.3">
      <c r="A220" s="1">
        <v>45715</v>
      </c>
      <c r="B220" s="2">
        <v>170.85</v>
      </c>
      <c r="C220" s="2">
        <v>173.09</v>
      </c>
      <c r="D220" s="2">
        <v>170.63</v>
      </c>
      <c r="E220" s="2">
        <v>171.97</v>
      </c>
      <c r="F220" s="2">
        <v>168.57</v>
      </c>
      <c r="G220" s="3">
        <v>5467000</v>
      </c>
    </row>
    <row r="221" spans="1:7" x14ac:dyDescent="0.3">
      <c r="A221" s="1">
        <v>45714</v>
      </c>
      <c r="B221" s="2">
        <v>172.28</v>
      </c>
      <c r="C221" s="2">
        <v>172.65</v>
      </c>
      <c r="D221" s="2">
        <v>170.65</v>
      </c>
      <c r="E221" s="2">
        <v>171.3</v>
      </c>
      <c r="F221" s="2">
        <v>167.91</v>
      </c>
      <c r="G221" s="3">
        <v>5519000</v>
      </c>
    </row>
    <row r="222" spans="1:7" x14ac:dyDescent="0.3">
      <c r="A222" s="1">
        <v>45713</v>
      </c>
      <c r="B222" s="2">
        <v>171.28</v>
      </c>
      <c r="C222" s="2">
        <v>173.95</v>
      </c>
      <c r="D222" s="2">
        <v>170.8</v>
      </c>
      <c r="E222" s="2">
        <v>172.65</v>
      </c>
      <c r="F222" s="2">
        <v>169.23</v>
      </c>
      <c r="G222" s="3">
        <v>7314900</v>
      </c>
    </row>
    <row r="223" spans="1:7" x14ac:dyDescent="0.3">
      <c r="A223" s="1">
        <v>45712</v>
      </c>
      <c r="B223" s="2">
        <v>170.22</v>
      </c>
      <c r="C223" s="2">
        <v>172.98</v>
      </c>
      <c r="D223" s="2">
        <v>169.79</v>
      </c>
      <c r="E223" s="2">
        <v>170.54</v>
      </c>
      <c r="F223" s="2">
        <v>167.16</v>
      </c>
      <c r="G223" s="3">
        <v>8564100</v>
      </c>
    </row>
    <row r="224" spans="1:7" x14ac:dyDescent="0.3">
      <c r="A224" s="1">
        <v>45709</v>
      </c>
      <c r="B224" s="2">
        <v>167.44</v>
      </c>
      <c r="C224" s="2">
        <v>170.55</v>
      </c>
      <c r="D224" s="2">
        <v>165.92</v>
      </c>
      <c r="E224" s="2">
        <v>170.23</v>
      </c>
      <c r="F224" s="2">
        <v>166.86</v>
      </c>
      <c r="G224" s="3">
        <v>9813700</v>
      </c>
    </row>
    <row r="225" spans="1:7" x14ac:dyDescent="0.3">
      <c r="A225" s="1">
        <v>45708</v>
      </c>
      <c r="B225" s="2">
        <v>163.15</v>
      </c>
      <c r="C225" s="2">
        <v>167.78</v>
      </c>
      <c r="D225" s="2">
        <v>162.80000000000001</v>
      </c>
      <c r="E225" s="2">
        <v>167.21</v>
      </c>
      <c r="F225" s="2">
        <v>163.9</v>
      </c>
      <c r="G225" s="3">
        <v>6162600</v>
      </c>
    </row>
    <row r="226" spans="1:7" x14ac:dyDescent="0.3">
      <c r="A226" s="1">
        <v>45707</v>
      </c>
      <c r="B226" s="2">
        <v>166.1</v>
      </c>
      <c r="C226" s="2">
        <v>166.87</v>
      </c>
      <c r="D226" s="2">
        <v>165.24</v>
      </c>
      <c r="E226" s="2">
        <v>166.49</v>
      </c>
      <c r="F226" s="2">
        <v>163.19</v>
      </c>
      <c r="G226" s="3">
        <v>7910700</v>
      </c>
    </row>
    <row r="227" spans="1:7" x14ac:dyDescent="0.3">
      <c r="A227" s="1">
        <v>45706</v>
      </c>
      <c r="B227" s="2">
        <v>163.35</v>
      </c>
      <c r="C227" s="2">
        <v>165.76</v>
      </c>
      <c r="D227" s="2">
        <v>162.19999999999999</v>
      </c>
      <c r="E227" s="2">
        <v>165.43</v>
      </c>
      <c r="F227" s="2">
        <v>162.15</v>
      </c>
      <c r="G227" s="3">
        <v>7075300</v>
      </c>
    </row>
    <row r="228" spans="1:7" x14ac:dyDescent="0.3">
      <c r="A228" s="1">
        <v>45702</v>
      </c>
      <c r="B228" s="2">
        <v>169.79</v>
      </c>
      <c r="C228" s="2">
        <v>170</v>
      </c>
      <c r="D228" s="2">
        <v>162.30000000000001</v>
      </c>
      <c r="E228" s="2">
        <v>162.88999999999999</v>
      </c>
      <c r="F228" s="2">
        <v>159.66</v>
      </c>
      <c r="G228" s="3">
        <v>13179500</v>
      </c>
    </row>
    <row r="229" spans="1:7" x14ac:dyDescent="0.3">
      <c r="A229" s="1">
        <v>45701</v>
      </c>
      <c r="B229" s="2">
        <v>169.63</v>
      </c>
      <c r="C229" s="2">
        <v>171.38</v>
      </c>
      <c r="D229" s="2">
        <v>169.14</v>
      </c>
      <c r="E229" s="2">
        <v>171.02</v>
      </c>
      <c r="F229" s="2">
        <v>167.63</v>
      </c>
      <c r="G229" s="3">
        <v>6328300</v>
      </c>
    </row>
    <row r="230" spans="1:7" x14ac:dyDescent="0.3">
      <c r="A230" s="1">
        <v>45700</v>
      </c>
      <c r="B230" s="2">
        <v>168.35</v>
      </c>
      <c r="C230" s="2">
        <v>170.08</v>
      </c>
      <c r="D230" s="2">
        <v>167.97</v>
      </c>
      <c r="E230" s="2">
        <v>169.58</v>
      </c>
      <c r="F230" s="2">
        <v>166.22</v>
      </c>
      <c r="G230" s="3">
        <v>6037400</v>
      </c>
    </row>
    <row r="231" spans="1:7" x14ac:dyDescent="0.3">
      <c r="A231" s="1">
        <v>45699</v>
      </c>
      <c r="B231" s="2">
        <v>167.69</v>
      </c>
      <c r="C231" s="2">
        <v>169.57</v>
      </c>
      <c r="D231" s="2">
        <v>166.5</v>
      </c>
      <c r="E231" s="2">
        <v>169.43</v>
      </c>
      <c r="F231" s="2">
        <v>166.08</v>
      </c>
      <c r="G231" s="3">
        <v>5438100</v>
      </c>
    </row>
    <row r="232" spans="1:7" x14ac:dyDescent="0.3">
      <c r="A232" s="1">
        <v>45698</v>
      </c>
      <c r="B232" s="2">
        <v>167.69</v>
      </c>
      <c r="C232" s="2">
        <v>168.48</v>
      </c>
      <c r="D232" s="2">
        <v>166.4</v>
      </c>
      <c r="E232" s="2">
        <v>167.53</v>
      </c>
      <c r="F232" s="2">
        <v>164.21</v>
      </c>
      <c r="G232" s="3">
        <v>7062900</v>
      </c>
    </row>
    <row r="233" spans="1:7" x14ac:dyDescent="0.3">
      <c r="A233" s="1">
        <v>45695</v>
      </c>
      <c r="B233" s="2">
        <v>169.09</v>
      </c>
      <c r="C233" s="2">
        <v>169.12</v>
      </c>
      <c r="D233" s="2">
        <v>167.87</v>
      </c>
      <c r="E233" s="2">
        <v>167.97</v>
      </c>
      <c r="F233" s="2">
        <v>164.64</v>
      </c>
      <c r="G233" s="3">
        <v>4536600</v>
      </c>
    </row>
    <row r="234" spans="1:7" x14ac:dyDescent="0.3">
      <c r="A234" s="1">
        <v>45694</v>
      </c>
      <c r="B234" s="2">
        <v>169.37</v>
      </c>
      <c r="C234" s="2">
        <v>169.93</v>
      </c>
      <c r="D234" s="2">
        <v>168.03</v>
      </c>
      <c r="E234" s="2">
        <v>168.88</v>
      </c>
      <c r="F234" s="2">
        <v>165.54</v>
      </c>
      <c r="G234" s="3">
        <v>4957900</v>
      </c>
    </row>
    <row r="235" spans="1:7" x14ac:dyDescent="0.3">
      <c r="A235" s="1">
        <v>45693</v>
      </c>
      <c r="B235" s="2">
        <v>168.09</v>
      </c>
      <c r="C235" s="2">
        <v>169.14</v>
      </c>
      <c r="D235" s="2">
        <v>166.61</v>
      </c>
      <c r="E235" s="2">
        <v>169.01</v>
      </c>
      <c r="F235" s="2">
        <v>165.66</v>
      </c>
      <c r="G235" s="3">
        <v>7536800</v>
      </c>
    </row>
    <row r="236" spans="1:7" x14ac:dyDescent="0.3">
      <c r="A236" s="1">
        <v>45692</v>
      </c>
      <c r="B236" s="2">
        <v>169.29</v>
      </c>
      <c r="C236" s="2">
        <v>169.29</v>
      </c>
      <c r="D236" s="2">
        <v>166.28</v>
      </c>
      <c r="E236" s="2">
        <v>168.13</v>
      </c>
      <c r="F236" s="2">
        <v>164.8</v>
      </c>
      <c r="G236" s="3">
        <v>6410900</v>
      </c>
    </row>
    <row r="237" spans="1:7" x14ac:dyDescent="0.3">
      <c r="A237" s="1">
        <v>45691</v>
      </c>
      <c r="B237" s="2">
        <v>165.47</v>
      </c>
      <c r="C237" s="2">
        <v>169.38</v>
      </c>
      <c r="D237" s="2">
        <v>165.23</v>
      </c>
      <c r="E237" s="2">
        <v>168.76</v>
      </c>
      <c r="F237" s="2">
        <v>165.42</v>
      </c>
      <c r="G237" s="3">
        <v>6868600</v>
      </c>
    </row>
    <row r="238" spans="1:7" x14ac:dyDescent="0.3">
      <c r="A238" s="1">
        <v>45688</v>
      </c>
      <c r="B238" s="2">
        <v>166</v>
      </c>
      <c r="C238" s="2">
        <v>166.62</v>
      </c>
      <c r="D238" s="2">
        <v>165.21</v>
      </c>
      <c r="E238" s="2">
        <v>165.99</v>
      </c>
      <c r="F238" s="2">
        <v>162.69999999999999</v>
      </c>
      <c r="G238" s="3">
        <v>5464700</v>
      </c>
    </row>
    <row r="239" spans="1:7" x14ac:dyDescent="0.3">
      <c r="A239" s="1">
        <v>45687</v>
      </c>
      <c r="B239" s="2">
        <v>167.48</v>
      </c>
      <c r="C239" s="2">
        <v>167.6</v>
      </c>
      <c r="D239" s="2">
        <v>165.93</v>
      </c>
      <c r="E239" s="2">
        <v>167.41</v>
      </c>
      <c r="F239" s="2">
        <v>164.1</v>
      </c>
      <c r="G239" s="3">
        <v>4136500</v>
      </c>
    </row>
    <row r="240" spans="1:7" x14ac:dyDescent="0.3">
      <c r="A240" s="1">
        <v>45686</v>
      </c>
      <c r="B240" s="2">
        <v>166.72</v>
      </c>
      <c r="C240" s="2">
        <v>167.29</v>
      </c>
      <c r="D240" s="2">
        <v>165.88</v>
      </c>
      <c r="E240" s="2">
        <v>166.23</v>
      </c>
      <c r="F240" s="2">
        <v>162.94</v>
      </c>
      <c r="G240" s="3">
        <v>4850300</v>
      </c>
    </row>
    <row r="241" spans="1:7" x14ac:dyDescent="0.3">
      <c r="A241" s="1">
        <v>45685</v>
      </c>
      <c r="B241" s="2">
        <v>168.91</v>
      </c>
      <c r="C241" s="2">
        <v>169.59</v>
      </c>
      <c r="D241" s="2">
        <v>166.11</v>
      </c>
      <c r="E241" s="2">
        <v>166.19</v>
      </c>
      <c r="F241" s="2">
        <v>162.9</v>
      </c>
      <c r="G241" s="3">
        <v>6716300</v>
      </c>
    </row>
    <row r="242" spans="1:7" x14ac:dyDescent="0.3">
      <c r="A242" s="1">
        <v>45684</v>
      </c>
      <c r="B242" s="2">
        <v>166.72</v>
      </c>
      <c r="C242" s="2">
        <v>169.94</v>
      </c>
      <c r="D242" s="2">
        <v>166.11</v>
      </c>
      <c r="E242" s="2">
        <v>169.66</v>
      </c>
      <c r="F242" s="2">
        <v>166.3</v>
      </c>
      <c r="G242" s="3">
        <v>9170800</v>
      </c>
    </row>
    <row r="243" spans="1:7" x14ac:dyDescent="0.3">
      <c r="A243" s="1">
        <v>45681</v>
      </c>
      <c r="B243" s="2">
        <v>165.91</v>
      </c>
      <c r="C243" s="2">
        <v>165.91</v>
      </c>
      <c r="D243" s="2">
        <v>163.19999999999999</v>
      </c>
      <c r="E243" s="2">
        <v>164.12</v>
      </c>
      <c r="F243" s="2">
        <v>160.87</v>
      </c>
      <c r="G243" s="3">
        <v>6199800</v>
      </c>
    </row>
    <row r="244" spans="1:7" x14ac:dyDescent="0.3">
      <c r="A244" s="1">
        <v>45680</v>
      </c>
      <c r="B244" s="2">
        <v>163.88</v>
      </c>
      <c r="C244" s="2">
        <v>166.48</v>
      </c>
      <c r="D244" s="2">
        <v>163.32</v>
      </c>
      <c r="E244" s="2">
        <v>166.15</v>
      </c>
      <c r="F244" s="2">
        <v>161.87</v>
      </c>
      <c r="G244" s="3">
        <v>7614300</v>
      </c>
    </row>
    <row r="245" spans="1:7" x14ac:dyDescent="0.3">
      <c r="A245" s="1">
        <v>45679</v>
      </c>
      <c r="B245" s="2">
        <v>167.1</v>
      </c>
      <c r="C245" s="2">
        <v>168.14</v>
      </c>
      <c r="D245" s="2">
        <v>164.44</v>
      </c>
      <c r="E245" s="2">
        <v>164.74</v>
      </c>
      <c r="F245" s="2">
        <v>160.5</v>
      </c>
      <c r="G245" s="3">
        <v>14356700</v>
      </c>
    </row>
    <row r="246" spans="1:7" x14ac:dyDescent="0.3">
      <c r="A246" s="1">
        <v>45678</v>
      </c>
      <c r="B246" s="2">
        <v>160.96</v>
      </c>
      <c r="C246" s="2">
        <v>162.35</v>
      </c>
      <c r="D246" s="2">
        <v>160.96</v>
      </c>
      <c r="E246" s="2">
        <v>161.72</v>
      </c>
      <c r="F246" s="2">
        <v>157.56</v>
      </c>
      <c r="G246" s="3">
        <v>13914700</v>
      </c>
    </row>
    <row r="247" spans="1:7" x14ac:dyDescent="0.3">
      <c r="A247" s="1">
        <v>45674</v>
      </c>
      <c r="B247" s="2">
        <v>159.74</v>
      </c>
      <c r="C247" s="2">
        <v>161.75</v>
      </c>
      <c r="D247" s="2">
        <v>159.6</v>
      </c>
      <c r="E247" s="2">
        <v>161.13</v>
      </c>
      <c r="F247" s="2">
        <v>156.97999999999999</v>
      </c>
      <c r="G247" s="3">
        <v>7262700</v>
      </c>
    </row>
    <row r="248" spans="1:7" x14ac:dyDescent="0.3">
      <c r="A248" s="1">
        <v>45673</v>
      </c>
      <c r="B248" s="2">
        <v>159.62</v>
      </c>
      <c r="C248" s="2">
        <v>160.58000000000001</v>
      </c>
      <c r="D248" s="2">
        <v>159.13999999999999</v>
      </c>
      <c r="E248" s="2">
        <v>160.5</v>
      </c>
      <c r="F248" s="2">
        <v>156.37</v>
      </c>
      <c r="G248" s="3">
        <v>5774400</v>
      </c>
    </row>
    <row r="249" spans="1:7" x14ac:dyDescent="0.3">
      <c r="A249" s="1">
        <v>45672</v>
      </c>
      <c r="B249" s="2">
        <v>160.59</v>
      </c>
      <c r="C249" s="2">
        <v>161.15</v>
      </c>
      <c r="D249" s="2">
        <v>159.34</v>
      </c>
      <c r="E249" s="2">
        <v>159.65</v>
      </c>
      <c r="F249" s="2">
        <v>155.54</v>
      </c>
      <c r="G249" s="3">
        <v>8059200</v>
      </c>
    </row>
    <row r="250" spans="1:7" x14ac:dyDescent="0.3">
      <c r="A250" s="1">
        <v>45671</v>
      </c>
      <c r="B250" s="2">
        <v>158.85</v>
      </c>
      <c r="C250" s="2">
        <v>160.07</v>
      </c>
      <c r="D250" s="2">
        <v>158.31</v>
      </c>
      <c r="E250" s="2">
        <v>159.74</v>
      </c>
      <c r="F250" s="2">
        <v>155.63</v>
      </c>
      <c r="G250" s="3">
        <v>5982200</v>
      </c>
    </row>
    <row r="251" spans="1:7" x14ac:dyDescent="0.3">
      <c r="A251" s="1">
        <v>45670</v>
      </c>
      <c r="B251" s="2">
        <v>159.35</v>
      </c>
      <c r="C251" s="2">
        <v>160.09</v>
      </c>
      <c r="D251" s="2">
        <v>158.41</v>
      </c>
      <c r="E251" s="2">
        <v>158.84</v>
      </c>
      <c r="F251" s="2">
        <v>154.75</v>
      </c>
      <c r="G251" s="3">
        <v>6772200</v>
      </c>
    </row>
    <row r="252" spans="1:7" x14ac:dyDescent="0.3">
      <c r="A252" s="1">
        <v>45667</v>
      </c>
      <c r="B252" s="2">
        <v>160.15</v>
      </c>
      <c r="C252" s="2">
        <v>161.21</v>
      </c>
      <c r="D252" s="2">
        <v>157.47</v>
      </c>
      <c r="E252" s="2">
        <v>158.56</v>
      </c>
      <c r="F252" s="2">
        <v>154.47999999999999</v>
      </c>
      <c r="G252" s="3">
        <v>8501500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51"/>
  <sheetViews>
    <sheetView topLeftCell="A229" workbookViewId="0">
      <selection activeCell="A257" sqref="A257"/>
    </sheetView>
  </sheetViews>
  <sheetFormatPr defaultRowHeight="14.4" x14ac:dyDescent="0.3"/>
  <cols>
    <col min="1" max="1" width="14.33203125" customWidth="1"/>
    <col min="7" max="7" width="15.5546875" customWidth="1"/>
  </cols>
  <sheetData>
    <row r="1" spans="1:7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7" x14ac:dyDescent="0.3">
      <c r="A2" s="1">
        <v>46031</v>
      </c>
      <c r="B2" s="16">
        <v>6927.83</v>
      </c>
      <c r="C2" s="16">
        <v>6978.36</v>
      </c>
      <c r="D2" s="16">
        <v>6917.64</v>
      </c>
      <c r="E2" s="16">
        <v>6966.28</v>
      </c>
      <c r="F2" s="16">
        <v>6966.28</v>
      </c>
      <c r="G2" s="3">
        <v>5163900000</v>
      </c>
    </row>
    <row r="3" spans="1:7" x14ac:dyDescent="0.3">
      <c r="A3" s="1">
        <v>46030</v>
      </c>
      <c r="B3" s="16">
        <v>6914.11</v>
      </c>
      <c r="C3" s="16">
        <v>6931.28</v>
      </c>
      <c r="D3" s="16">
        <v>6899.33</v>
      </c>
      <c r="E3" s="16">
        <v>6921.46</v>
      </c>
      <c r="F3" s="16">
        <v>6921.46</v>
      </c>
      <c r="G3" s="3">
        <v>5333200000</v>
      </c>
    </row>
    <row r="4" spans="1:7" x14ac:dyDescent="0.3">
      <c r="A4" s="1">
        <v>46029</v>
      </c>
      <c r="B4" s="16">
        <v>6945.07</v>
      </c>
      <c r="C4" s="16">
        <v>6965.69</v>
      </c>
      <c r="D4" s="16">
        <v>6919.19</v>
      </c>
      <c r="E4" s="16">
        <v>6920.93</v>
      </c>
      <c r="F4" s="16">
        <v>6920.93</v>
      </c>
      <c r="G4" s="3">
        <v>5214480000</v>
      </c>
    </row>
    <row r="5" spans="1:7" x14ac:dyDescent="0.3">
      <c r="A5" s="1">
        <v>46028</v>
      </c>
      <c r="B5" s="16">
        <v>6908.03</v>
      </c>
      <c r="C5" s="16">
        <v>6948.69</v>
      </c>
      <c r="D5" s="16">
        <v>6904.02</v>
      </c>
      <c r="E5" s="16">
        <v>6944.82</v>
      </c>
      <c r="F5" s="16">
        <v>6944.82</v>
      </c>
      <c r="G5" s="3">
        <v>5509680000</v>
      </c>
    </row>
    <row r="6" spans="1:7" x14ac:dyDescent="0.3">
      <c r="A6" s="1">
        <v>46027</v>
      </c>
      <c r="B6" s="16">
        <v>6892.19</v>
      </c>
      <c r="C6" s="16">
        <v>6920.38</v>
      </c>
      <c r="D6" s="16">
        <v>6891.56</v>
      </c>
      <c r="E6" s="16">
        <v>6902.05</v>
      </c>
      <c r="F6" s="16">
        <v>6902.05</v>
      </c>
      <c r="G6" s="3">
        <v>5771930000</v>
      </c>
    </row>
    <row r="7" spans="1:7" x14ac:dyDescent="0.3">
      <c r="A7" s="1">
        <v>46024</v>
      </c>
      <c r="B7" s="16">
        <v>6878.11</v>
      </c>
      <c r="C7" s="16">
        <v>6894.87</v>
      </c>
      <c r="D7" s="16">
        <v>6824.31</v>
      </c>
      <c r="E7" s="16">
        <v>6858.47</v>
      </c>
      <c r="F7" s="16">
        <v>6858.47</v>
      </c>
      <c r="G7" s="3">
        <v>4184120000</v>
      </c>
    </row>
    <row r="8" spans="1:7" x14ac:dyDescent="0.3">
      <c r="A8" s="1">
        <v>46022</v>
      </c>
      <c r="B8" s="16">
        <v>6898.82</v>
      </c>
      <c r="C8" s="16">
        <v>6901.42</v>
      </c>
      <c r="D8" s="16">
        <v>6844.55</v>
      </c>
      <c r="E8" s="16">
        <v>6845.5</v>
      </c>
      <c r="F8" s="16">
        <v>6845.5</v>
      </c>
      <c r="G8" s="3">
        <v>3261830000</v>
      </c>
    </row>
    <row r="9" spans="1:7" x14ac:dyDescent="0.3">
      <c r="A9" s="1">
        <v>46021</v>
      </c>
      <c r="B9" s="16">
        <v>6900.44</v>
      </c>
      <c r="C9" s="16">
        <v>6913.25</v>
      </c>
      <c r="D9" s="16">
        <v>6893.47</v>
      </c>
      <c r="E9" s="16">
        <v>6896.24</v>
      </c>
      <c r="F9" s="16">
        <v>6896.24</v>
      </c>
      <c r="G9" s="3">
        <v>3309930000</v>
      </c>
    </row>
    <row r="10" spans="1:7" x14ac:dyDescent="0.3">
      <c r="A10" s="1">
        <v>46020</v>
      </c>
      <c r="B10" s="16">
        <v>6903.6</v>
      </c>
      <c r="C10" s="16">
        <v>6920.21</v>
      </c>
      <c r="D10" s="16">
        <v>6888.76</v>
      </c>
      <c r="E10" s="16">
        <v>6905.74</v>
      </c>
      <c r="F10" s="16">
        <v>6905.74</v>
      </c>
      <c r="G10" s="3">
        <v>3541750000</v>
      </c>
    </row>
    <row r="11" spans="1:7" x14ac:dyDescent="0.3">
      <c r="A11" s="1">
        <v>46017</v>
      </c>
      <c r="B11" s="16">
        <v>6936.02</v>
      </c>
      <c r="C11" s="16">
        <v>6945.77</v>
      </c>
      <c r="D11" s="16">
        <v>6921.6</v>
      </c>
      <c r="E11" s="16">
        <v>6929.94</v>
      </c>
      <c r="F11" s="16">
        <v>6929.94</v>
      </c>
      <c r="G11" s="3">
        <v>2586550000</v>
      </c>
    </row>
    <row r="12" spans="1:7" x14ac:dyDescent="0.3">
      <c r="A12" s="1">
        <v>46015</v>
      </c>
      <c r="B12" s="16">
        <v>6904.91</v>
      </c>
      <c r="C12" s="16">
        <v>6937.32</v>
      </c>
      <c r="D12" s="16">
        <v>6904.91</v>
      </c>
      <c r="E12" s="16">
        <v>6932.05</v>
      </c>
      <c r="F12" s="16">
        <v>6932.05</v>
      </c>
      <c r="G12" s="3">
        <v>1798270000</v>
      </c>
    </row>
    <row r="13" spans="1:7" x14ac:dyDescent="0.3">
      <c r="A13" s="1">
        <v>46014</v>
      </c>
      <c r="B13" s="16">
        <v>6872.41</v>
      </c>
      <c r="C13" s="16">
        <v>6910.88</v>
      </c>
      <c r="D13" s="16">
        <v>6868.81</v>
      </c>
      <c r="E13" s="16">
        <v>6909.79</v>
      </c>
      <c r="F13" s="16">
        <v>6909.79</v>
      </c>
      <c r="G13" s="3">
        <v>3820560000</v>
      </c>
    </row>
    <row r="14" spans="1:7" x14ac:dyDescent="0.3">
      <c r="A14" s="1">
        <v>46013</v>
      </c>
      <c r="B14" s="16">
        <v>6865.21</v>
      </c>
      <c r="C14" s="16">
        <v>6882.03</v>
      </c>
      <c r="D14" s="16">
        <v>6855.74</v>
      </c>
      <c r="E14" s="16">
        <v>6878.49</v>
      </c>
      <c r="F14" s="16">
        <v>6878.49</v>
      </c>
      <c r="G14" s="3">
        <v>4465030000</v>
      </c>
    </row>
    <row r="15" spans="1:7" x14ac:dyDescent="0.3">
      <c r="A15" s="1">
        <v>46010</v>
      </c>
      <c r="B15" s="16">
        <v>6792.62</v>
      </c>
      <c r="C15" s="16">
        <v>6840.02</v>
      </c>
      <c r="D15" s="16">
        <v>6792.62</v>
      </c>
      <c r="E15" s="16">
        <v>6834.5</v>
      </c>
      <c r="F15" s="16">
        <v>6834.5</v>
      </c>
      <c r="G15" s="3">
        <v>8554470000</v>
      </c>
    </row>
    <row r="16" spans="1:7" x14ac:dyDescent="0.3">
      <c r="A16" s="1">
        <v>46009</v>
      </c>
      <c r="B16" s="16">
        <v>6778.06</v>
      </c>
      <c r="C16" s="16">
        <v>6816.13</v>
      </c>
      <c r="D16" s="16">
        <v>6758.5</v>
      </c>
      <c r="E16" s="16">
        <v>6774.76</v>
      </c>
      <c r="F16" s="16">
        <v>6774.76</v>
      </c>
      <c r="G16" s="3">
        <v>5101190000</v>
      </c>
    </row>
    <row r="17" spans="1:7" x14ac:dyDescent="0.3">
      <c r="A17" s="1">
        <v>46008</v>
      </c>
      <c r="B17" s="16">
        <v>6802.88</v>
      </c>
      <c r="C17" s="16">
        <v>6812.26</v>
      </c>
      <c r="D17" s="16">
        <v>6720.43</v>
      </c>
      <c r="E17" s="16">
        <v>6721.43</v>
      </c>
      <c r="F17" s="16">
        <v>6721.43</v>
      </c>
      <c r="G17" s="3">
        <v>5122120000</v>
      </c>
    </row>
    <row r="18" spans="1:7" x14ac:dyDescent="0.3">
      <c r="A18" s="1">
        <v>46007</v>
      </c>
      <c r="B18" s="16">
        <v>6800.12</v>
      </c>
      <c r="C18" s="16">
        <v>6819.27</v>
      </c>
      <c r="D18" s="16">
        <v>6759.74</v>
      </c>
      <c r="E18" s="16">
        <v>6800.26</v>
      </c>
      <c r="F18" s="16">
        <v>6800.26</v>
      </c>
      <c r="G18" s="3">
        <v>4983180000</v>
      </c>
    </row>
    <row r="19" spans="1:7" x14ac:dyDescent="0.3">
      <c r="A19" s="1">
        <v>46006</v>
      </c>
      <c r="B19" s="16">
        <v>6860.19</v>
      </c>
      <c r="C19" s="16">
        <v>6861.59</v>
      </c>
      <c r="D19" s="16">
        <v>6801.49</v>
      </c>
      <c r="E19" s="16">
        <v>6816.51</v>
      </c>
      <c r="F19" s="16">
        <v>6816.51</v>
      </c>
      <c r="G19" s="3">
        <v>4975600000</v>
      </c>
    </row>
    <row r="20" spans="1:7" x14ac:dyDescent="0.3">
      <c r="A20" s="1">
        <v>46003</v>
      </c>
      <c r="B20" s="16">
        <v>6886.85</v>
      </c>
      <c r="C20" s="16">
        <v>6899.85</v>
      </c>
      <c r="D20" s="16">
        <v>6801.79</v>
      </c>
      <c r="E20" s="16">
        <v>6827.41</v>
      </c>
      <c r="F20" s="16">
        <v>6827.41</v>
      </c>
      <c r="G20" s="3">
        <v>4910160000</v>
      </c>
    </row>
    <row r="21" spans="1:7" x14ac:dyDescent="0.3">
      <c r="A21" s="1">
        <v>46002</v>
      </c>
      <c r="B21" s="16">
        <v>6861.3</v>
      </c>
      <c r="C21" s="16">
        <v>6903.46</v>
      </c>
      <c r="D21" s="16">
        <v>6833.45</v>
      </c>
      <c r="E21" s="16">
        <v>6901</v>
      </c>
      <c r="F21" s="16">
        <v>6901</v>
      </c>
      <c r="G21" s="3">
        <v>5021060000</v>
      </c>
    </row>
    <row r="22" spans="1:7" x14ac:dyDescent="0.3">
      <c r="A22" s="1">
        <v>46001</v>
      </c>
      <c r="B22" s="16">
        <v>6833.49</v>
      </c>
      <c r="C22" s="16">
        <v>6900.67</v>
      </c>
      <c r="D22" s="16">
        <v>6824.69</v>
      </c>
      <c r="E22" s="16">
        <v>6886.68</v>
      </c>
      <c r="F22" s="16">
        <v>6886.68</v>
      </c>
      <c r="G22" s="3">
        <v>5526570000</v>
      </c>
    </row>
    <row r="23" spans="1:7" x14ac:dyDescent="0.3">
      <c r="A23" s="1">
        <v>46000</v>
      </c>
      <c r="B23" s="16">
        <v>6840.61</v>
      </c>
      <c r="C23" s="16">
        <v>6864.92</v>
      </c>
      <c r="D23" s="16">
        <v>6837.43</v>
      </c>
      <c r="E23" s="16">
        <v>6840.51</v>
      </c>
      <c r="F23" s="16">
        <v>6840.51</v>
      </c>
      <c r="G23" s="3">
        <v>4508050000</v>
      </c>
    </row>
    <row r="24" spans="1:7" x14ac:dyDescent="0.3">
      <c r="A24" s="1">
        <v>45999</v>
      </c>
      <c r="B24" s="16">
        <v>6875.2</v>
      </c>
      <c r="C24" s="16">
        <v>6878.27</v>
      </c>
      <c r="D24" s="16">
        <v>6827.19</v>
      </c>
      <c r="E24" s="16">
        <v>6846.51</v>
      </c>
      <c r="F24" s="16">
        <v>6846.51</v>
      </c>
      <c r="G24" s="3">
        <v>4757130000</v>
      </c>
    </row>
    <row r="25" spans="1:7" x14ac:dyDescent="0.3">
      <c r="A25" s="1">
        <v>45996</v>
      </c>
      <c r="B25" s="16">
        <v>6866.32</v>
      </c>
      <c r="C25" s="16">
        <v>6895.78</v>
      </c>
      <c r="D25" s="16">
        <v>6858.29</v>
      </c>
      <c r="E25" s="16">
        <v>6870.4</v>
      </c>
      <c r="F25" s="16">
        <v>6870.4</v>
      </c>
      <c r="G25" s="3">
        <v>4944560000</v>
      </c>
    </row>
    <row r="26" spans="1:7" x14ac:dyDescent="0.3">
      <c r="A26" s="1">
        <v>45995</v>
      </c>
      <c r="B26" s="16">
        <v>6866.47</v>
      </c>
      <c r="C26" s="16">
        <v>6866.47</v>
      </c>
      <c r="D26" s="16">
        <v>6827.12</v>
      </c>
      <c r="E26" s="16">
        <v>6857.12</v>
      </c>
      <c r="F26" s="16">
        <v>6857.12</v>
      </c>
      <c r="G26" s="3">
        <v>4872440000</v>
      </c>
    </row>
    <row r="27" spans="1:7" x14ac:dyDescent="0.3">
      <c r="A27" s="1">
        <v>45994</v>
      </c>
      <c r="B27" s="16">
        <v>6815.29</v>
      </c>
      <c r="C27" s="16">
        <v>6862.42</v>
      </c>
      <c r="D27" s="16">
        <v>6810.43</v>
      </c>
      <c r="E27" s="16">
        <v>6849.72</v>
      </c>
      <c r="F27" s="16">
        <v>6849.72</v>
      </c>
      <c r="G27" s="3">
        <v>4736780000</v>
      </c>
    </row>
    <row r="28" spans="1:7" x14ac:dyDescent="0.3">
      <c r="A28" s="1">
        <v>45993</v>
      </c>
      <c r="B28" s="16">
        <v>6830.96</v>
      </c>
      <c r="C28" s="16">
        <v>6851.55</v>
      </c>
      <c r="D28" s="16">
        <v>6806.71</v>
      </c>
      <c r="E28" s="16">
        <v>6829.37</v>
      </c>
      <c r="F28" s="16">
        <v>6829.37</v>
      </c>
      <c r="G28" s="3">
        <v>4582290000</v>
      </c>
    </row>
    <row r="29" spans="1:7" x14ac:dyDescent="0.3">
      <c r="A29" s="1">
        <v>45992</v>
      </c>
      <c r="B29" s="16">
        <v>6812.3</v>
      </c>
      <c r="C29" s="16">
        <v>6843.65</v>
      </c>
      <c r="D29" s="16">
        <v>6799.94</v>
      </c>
      <c r="E29" s="16">
        <v>6812.63</v>
      </c>
      <c r="F29" s="16">
        <v>6812.63</v>
      </c>
      <c r="G29" s="3">
        <v>4549370000</v>
      </c>
    </row>
    <row r="30" spans="1:7" x14ac:dyDescent="0.3">
      <c r="A30" s="1">
        <v>45989</v>
      </c>
      <c r="B30" s="16">
        <v>6822.52</v>
      </c>
      <c r="C30" s="16">
        <v>6850.86</v>
      </c>
      <c r="D30" s="16">
        <v>6819.75</v>
      </c>
      <c r="E30" s="16">
        <v>6849.09</v>
      </c>
      <c r="F30" s="16">
        <v>6849.09</v>
      </c>
      <c r="G30" s="3">
        <v>2558540000</v>
      </c>
    </row>
    <row r="31" spans="1:7" x14ac:dyDescent="0.3">
      <c r="A31" s="1">
        <v>45987</v>
      </c>
      <c r="B31" s="16">
        <v>6793.55</v>
      </c>
      <c r="C31" s="16">
        <v>6831.44</v>
      </c>
      <c r="D31" s="16">
        <v>6783.87</v>
      </c>
      <c r="E31" s="16">
        <v>6812.61</v>
      </c>
      <c r="F31" s="16">
        <v>6812.61</v>
      </c>
      <c r="G31" s="3">
        <v>4485000000</v>
      </c>
    </row>
    <row r="32" spans="1:7" x14ac:dyDescent="0.3">
      <c r="A32" s="1">
        <v>45986</v>
      </c>
      <c r="B32" s="16">
        <v>6697.03</v>
      </c>
      <c r="C32" s="16">
        <v>6776.4</v>
      </c>
      <c r="D32" s="16">
        <v>6659.98</v>
      </c>
      <c r="E32" s="16">
        <v>6765.88</v>
      </c>
      <c r="F32" s="16">
        <v>6765.88</v>
      </c>
      <c r="G32" s="3">
        <v>5003330000</v>
      </c>
    </row>
    <row r="33" spans="1:7" x14ac:dyDescent="0.3">
      <c r="A33" s="1">
        <v>45985</v>
      </c>
      <c r="B33" s="16">
        <v>6636.54</v>
      </c>
      <c r="C33" s="16">
        <v>6715.75</v>
      </c>
      <c r="D33" s="16">
        <v>6630.7</v>
      </c>
      <c r="E33" s="16">
        <v>6705.12</v>
      </c>
      <c r="F33" s="16">
        <v>6705.12</v>
      </c>
      <c r="G33" s="3">
        <v>6039740000</v>
      </c>
    </row>
    <row r="34" spans="1:7" x14ac:dyDescent="0.3">
      <c r="A34" s="1">
        <v>45982</v>
      </c>
      <c r="B34" s="16">
        <v>6555.77</v>
      </c>
      <c r="C34" s="16">
        <v>6660.05</v>
      </c>
      <c r="D34" s="16">
        <v>6521.92</v>
      </c>
      <c r="E34" s="16">
        <v>6602.99</v>
      </c>
      <c r="F34" s="16">
        <v>6602.99</v>
      </c>
      <c r="G34" s="3">
        <v>5929930000</v>
      </c>
    </row>
    <row r="35" spans="1:7" x14ac:dyDescent="0.3">
      <c r="A35" s="1">
        <v>45981</v>
      </c>
      <c r="B35" s="16">
        <v>6737.93</v>
      </c>
      <c r="C35" s="16">
        <v>6770.35</v>
      </c>
      <c r="D35" s="16">
        <v>6534.05</v>
      </c>
      <c r="E35" s="16">
        <v>6538.76</v>
      </c>
      <c r="F35" s="16">
        <v>6538.76</v>
      </c>
      <c r="G35" s="3">
        <v>5596080000</v>
      </c>
    </row>
    <row r="36" spans="1:7" x14ac:dyDescent="0.3">
      <c r="A36" s="1">
        <v>45980</v>
      </c>
      <c r="B36" s="16">
        <v>6625.84</v>
      </c>
      <c r="C36" s="16">
        <v>6689.75</v>
      </c>
      <c r="D36" s="16">
        <v>6603.5</v>
      </c>
      <c r="E36" s="16">
        <v>6642.16</v>
      </c>
      <c r="F36" s="16">
        <v>6642.16</v>
      </c>
      <c r="G36" s="3">
        <v>5021610000</v>
      </c>
    </row>
    <row r="37" spans="1:7" x14ac:dyDescent="0.3">
      <c r="A37" s="1">
        <v>45979</v>
      </c>
      <c r="B37" s="16">
        <v>6641.19</v>
      </c>
      <c r="C37" s="16">
        <v>6666.63</v>
      </c>
      <c r="D37" s="16">
        <v>6574.32</v>
      </c>
      <c r="E37" s="16">
        <v>6617.32</v>
      </c>
      <c r="F37" s="16">
        <v>6617.32</v>
      </c>
      <c r="G37" s="3">
        <v>5159390000</v>
      </c>
    </row>
    <row r="38" spans="1:7" x14ac:dyDescent="0.3">
      <c r="A38" s="1">
        <v>45978</v>
      </c>
      <c r="B38" s="16">
        <v>6713.61</v>
      </c>
      <c r="C38" s="16">
        <v>6754.5</v>
      </c>
      <c r="D38" s="16">
        <v>6638.9</v>
      </c>
      <c r="E38" s="16">
        <v>6672.41</v>
      </c>
      <c r="F38" s="16">
        <v>6672.41</v>
      </c>
      <c r="G38" s="3">
        <v>5204220000</v>
      </c>
    </row>
    <row r="39" spans="1:7" x14ac:dyDescent="0.3">
      <c r="A39" s="1">
        <v>45975</v>
      </c>
      <c r="B39" s="16">
        <v>6672.14</v>
      </c>
      <c r="C39" s="16">
        <v>6774.31</v>
      </c>
      <c r="D39" s="16">
        <v>6646.87</v>
      </c>
      <c r="E39" s="16">
        <v>6734.11</v>
      </c>
      <c r="F39" s="16">
        <v>6734.11</v>
      </c>
      <c r="G39" s="3">
        <v>5042660000</v>
      </c>
    </row>
    <row r="40" spans="1:7" x14ac:dyDescent="0.3">
      <c r="A40" s="1">
        <v>45974</v>
      </c>
      <c r="B40" s="16">
        <v>6826.47</v>
      </c>
      <c r="C40" s="16">
        <v>6828.05</v>
      </c>
      <c r="D40" s="16">
        <v>6724.72</v>
      </c>
      <c r="E40" s="16">
        <v>6737.49</v>
      </c>
      <c r="F40" s="16">
        <v>6737.49</v>
      </c>
      <c r="G40" s="3">
        <v>5473720000</v>
      </c>
    </row>
    <row r="41" spans="1:7" x14ac:dyDescent="0.3">
      <c r="A41" s="1">
        <v>45973</v>
      </c>
      <c r="B41" s="16">
        <v>6867.77</v>
      </c>
      <c r="C41" s="16">
        <v>6869.91</v>
      </c>
      <c r="D41" s="16">
        <v>6829.62</v>
      </c>
      <c r="E41" s="16">
        <v>6850.92</v>
      </c>
      <c r="F41" s="16">
        <v>6850.92</v>
      </c>
      <c r="G41" s="3">
        <v>5293610000</v>
      </c>
    </row>
    <row r="42" spans="1:7" x14ac:dyDescent="0.3">
      <c r="A42" s="1">
        <v>45972</v>
      </c>
      <c r="B42" s="16">
        <v>6815.64</v>
      </c>
      <c r="C42" s="16">
        <v>6855.13</v>
      </c>
      <c r="D42" s="16">
        <v>6806.87</v>
      </c>
      <c r="E42" s="16">
        <v>6846.61</v>
      </c>
      <c r="F42" s="16">
        <v>6846.61</v>
      </c>
      <c r="G42" s="3">
        <v>4983490000</v>
      </c>
    </row>
    <row r="43" spans="1:7" x14ac:dyDescent="0.3">
      <c r="A43" s="1">
        <v>45971</v>
      </c>
      <c r="B43" s="16">
        <v>6785.36</v>
      </c>
      <c r="C43" s="16">
        <v>6841.32</v>
      </c>
      <c r="D43" s="16">
        <v>6770.56</v>
      </c>
      <c r="E43" s="16">
        <v>6832.43</v>
      </c>
      <c r="F43" s="16">
        <v>6832.43</v>
      </c>
      <c r="G43" s="3">
        <v>5366050000</v>
      </c>
    </row>
    <row r="44" spans="1:7" x14ac:dyDescent="0.3">
      <c r="A44" s="1">
        <v>45968</v>
      </c>
      <c r="B44" s="16">
        <v>6696.18</v>
      </c>
      <c r="C44" s="16">
        <v>6730.11</v>
      </c>
      <c r="D44" s="16">
        <v>6631.44</v>
      </c>
      <c r="E44" s="16">
        <v>6728.8</v>
      </c>
      <c r="F44" s="16">
        <v>6728.8</v>
      </c>
      <c r="G44" s="3">
        <v>5926070000</v>
      </c>
    </row>
    <row r="45" spans="1:7" x14ac:dyDescent="0.3">
      <c r="A45" s="1">
        <v>45967</v>
      </c>
      <c r="B45" s="16">
        <v>6787.59</v>
      </c>
      <c r="C45" s="16">
        <v>6796.68</v>
      </c>
      <c r="D45" s="16">
        <v>6707.51</v>
      </c>
      <c r="E45" s="16">
        <v>6720.32</v>
      </c>
      <c r="F45" s="16">
        <v>6720.32</v>
      </c>
      <c r="G45" s="3">
        <v>6051900000</v>
      </c>
    </row>
    <row r="46" spans="1:7" x14ac:dyDescent="0.3">
      <c r="A46" s="1">
        <v>45966</v>
      </c>
      <c r="B46" s="16">
        <v>6769.77</v>
      </c>
      <c r="C46" s="16">
        <v>6829.78</v>
      </c>
      <c r="D46" s="16">
        <v>6763.11</v>
      </c>
      <c r="E46" s="16">
        <v>6796.29</v>
      </c>
      <c r="F46" s="16">
        <v>6796.29</v>
      </c>
      <c r="G46" s="3">
        <v>5939600000</v>
      </c>
    </row>
    <row r="47" spans="1:7" x14ac:dyDescent="0.3">
      <c r="A47" s="1">
        <v>45965</v>
      </c>
      <c r="B47" s="16">
        <v>6788.52</v>
      </c>
      <c r="C47" s="16">
        <v>6820.21</v>
      </c>
      <c r="D47" s="16">
        <v>6766.71</v>
      </c>
      <c r="E47" s="16">
        <v>6771.55</v>
      </c>
      <c r="F47" s="16">
        <v>6771.55</v>
      </c>
      <c r="G47" s="3">
        <v>5739510000</v>
      </c>
    </row>
    <row r="48" spans="1:7" x14ac:dyDescent="0.3">
      <c r="A48" s="1">
        <v>45964</v>
      </c>
      <c r="B48" s="16">
        <v>6882.32</v>
      </c>
      <c r="C48" s="16">
        <v>6882.32</v>
      </c>
      <c r="D48" s="16">
        <v>6820.62</v>
      </c>
      <c r="E48" s="16">
        <v>6851.97</v>
      </c>
      <c r="F48" s="16">
        <v>6851.97</v>
      </c>
      <c r="G48" s="3">
        <v>6065720000</v>
      </c>
    </row>
    <row r="49" spans="1:7" x14ac:dyDescent="0.3">
      <c r="A49" s="1">
        <v>45961</v>
      </c>
      <c r="B49" s="16">
        <v>6879.17</v>
      </c>
      <c r="C49" s="16">
        <v>6879.17</v>
      </c>
      <c r="D49" s="16">
        <v>6814.26</v>
      </c>
      <c r="E49" s="16">
        <v>6840.2</v>
      </c>
      <c r="F49" s="16">
        <v>6840.2</v>
      </c>
      <c r="G49" s="3">
        <v>6398280000</v>
      </c>
    </row>
    <row r="50" spans="1:7" x14ac:dyDescent="0.3">
      <c r="A50" s="1">
        <v>45960</v>
      </c>
      <c r="B50" s="16">
        <v>6860.5</v>
      </c>
      <c r="C50" s="16">
        <v>6880.75</v>
      </c>
      <c r="D50" s="16">
        <v>6820.69</v>
      </c>
      <c r="E50" s="16">
        <v>6822.34</v>
      </c>
      <c r="F50" s="16">
        <v>6822.34</v>
      </c>
      <c r="G50" s="3">
        <v>6052700000</v>
      </c>
    </row>
    <row r="51" spans="1:7" x14ac:dyDescent="0.3">
      <c r="A51" s="1">
        <v>45959</v>
      </c>
      <c r="B51" s="16">
        <v>6910.95</v>
      </c>
      <c r="C51" s="16">
        <v>6920.34</v>
      </c>
      <c r="D51" s="16">
        <v>6851.91</v>
      </c>
      <c r="E51" s="16">
        <v>6890.59</v>
      </c>
      <c r="F51" s="16">
        <v>6890.59</v>
      </c>
      <c r="G51" s="3">
        <v>6280130000</v>
      </c>
    </row>
    <row r="52" spans="1:7" x14ac:dyDescent="0.3">
      <c r="A52" s="1">
        <v>45958</v>
      </c>
      <c r="B52" s="16">
        <v>6897.74</v>
      </c>
      <c r="C52" s="16">
        <v>6911.3</v>
      </c>
      <c r="D52" s="16">
        <v>6870.73</v>
      </c>
      <c r="E52" s="16">
        <v>6890.89</v>
      </c>
      <c r="F52" s="16">
        <v>6890.89</v>
      </c>
      <c r="G52" s="3">
        <v>5695930000</v>
      </c>
    </row>
    <row r="53" spans="1:7" x14ac:dyDescent="0.3">
      <c r="A53" s="1">
        <v>45957</v>
      </c>
      <c r="B53" s="16">
        <v>6845.46</v>
      </c>
      <c r="C53" s="16">
        <v>6877.28</v>
      </c>
      <c r="D53" s="16">
        <v>6843.94</v>
      </c>
      <c r="E53" s="16">
        <v>6875.16</v>
      </c>
      <c r="F53" s="16">
        <v>6875.16</v>
      </c>
      <c r="G53" s="3">
        <v>5290650000</v>
      </c>
    </row>
    <row r="54" spans="1:7" x14ac:dyDescent="0.3">
      <c r="A54" s="1">
        <v>45954</v>
      </c>
      <c r="B54" s="16">
        <v>6772.07</v>
      </c>
      <c r="C54" s="16">
        <v>6807.11</v>
      </c>
      <c r="D54" s="16">
        <v>6772.07</v>
      </c>
      <c r="E54" s="16">
        <v>6791.69</v>
      </c>
      <c r="F54" s="16">
        <v>6791.69</v>
      </c>
      <c r="G54" s="3">
        <v>5058220000</v>
      </c>
    </row>
    <row r="55" spans="1:7" x14ac:dyDescent="0.3">
      <c r="A55" s="1">
        <v>45953</v>
      </c>
      <c r="B55" s="16">
        <v>6703.65</v>
      </c>
      <c r="C55" s="16">
        <v>6749.53</v>
      </c>
      <c r="D55" s="16">
        <v>6700.14</v>
      </c>
      <c r="E55" s="16">
        <v>6738.44</v>
      </c>
      <c r="F55" s="16">
        <v>6738.44</v>
      </c>
      <c r="G55" s="3">
        <v>5565750000</v>
      </c>
    </row>
    <row r="56" spans="1:7" x14ac:dyDescent="0.3">
      <c r="A56" s="1">
        <v>45952</v>
      </c>
      <c r="B56" s="16">
        <v>6741.34</v>
      </c>
      <c r="C56" s="16">
        <v>6741.75</v>
      </c>
      <c r="D56" s="16">
        <v>6655.69</v>
      </c>
      <c r="E56" s="16">
        <v>6699.4</v>
      </c>
      <c r="F56" s="16">
        <v>6699.4</v>
      </c>
      <c r="G56" s="3">
        <v>5710010000</v>
      </c>
    </row>
    <row r="57" spans="1:7" x14ac:dyDescent="0.3">
      <c r="A57" s="1">
        <v>45951</v>
      </c>
      <c r="B57" s="16">
        <v>6736.75</v>
      </c>
      <c r="C57" s="16">
        <v>6752.16</v>
      </c>
      <c r="D57" s="16">
        <v>6722.03</v>
      </c>
      <c r="E57" s="16">
        <v>6735.35</v>
      </c>
      <c r="F57" s="16">
        <v>6735.35</v>
      </c>
      <c r="G57" s="3">
        <v>5245020000</v>
      </c>
    </row>
    <row r="58" spans="1:7" x14ac:dyDescent="0.3">
      <c r="A58" s="1">
        <v>45950</v>
      </c>
      <c r="B58" s="16">
        <v>6690.05</v>
      </c>
      <c r="C58" s="16">
        <v>6744.35</v>
      </c>
      <c r="D58" s="16">
        <v>6690.05</v>
      </c>
      <c r="E58" s="16">
        <v>6735.13</v>
      </c>
      <c r="F58" s="16">
        <v>6735.13</v>
      </c>
      <c r="G58" s="3">
        <v>4672170000</v>
      </c>
    </row>
    <row r="59" spans="1:7" x14ac:dyDescent="0.3">
      <c r="A59" s="1">
        <v>45947</v>
      </c>
      <c r="B59" s="16">
        <v>6613.27</v>
      </c>
      <c r="C59" s="16">
        <v>6678.88</v>
      </c>
      <c r="D59" s="16">
        <v>6603.76</v>
      </c>
      <c r="E59" s="16">
        <v>6664.01</v>
      </c>
      <c r="F59" s="16">
        <v>6664.01</v>
      </c>
      <c r="G59" s="3">
        <v>5358120000</v>
      </c>
    </row>
    <row r="60" spans="1:7" x14ac:dyDescent="0.3">
      <c r="A60" s="1">
        <v>45946</v>
      </c>
      <c r="B60" s="16">
        <v>6689.02</v>
      </c>
      <c r="C60" s="16">
        <v>6709.34</v>
      </c>
      <c r="D60" s="16">
        <v>6593.99</v>
      </c>
      <c r="E60" s="16">
        <v>6629.07</v>
      </c>
      <c r="F60" s="16">
        <v>6629.07</v>
      </c>
      <c r="G60" s="3">
        <v>6048180000</v>
      </c>
    </row>
    <row r="61" spans="1:7" x14ac:dyDescent="0.3">
      <c r="A61" s="1">
        <v>45945</v>
      </c>
      <c r="B61" s="16">
        <v>6688.27</v>
      </c>
      <c r="C61" s="16">
        <v>6724.12</v>
      </c>
      <c r="D61" s="16">
        <v>6612.11</v>
      </c>
      <c r="E61" s="16">
        <v>6671.06</v>
      </c>
      <c r="F61" s="16">
        <v>6671.06</v>
      </c>
      <c r="G61" s="3">
        <v>5633060000</v>
      </c>
    </row>
    <row r="62" spans="1:7" x14ac:dyDescent="0.3">
      <c r="A62" s="1">
        <v>45944</v>
      </c>
      <c r="B62" s="16">
        <v>6602.49</v>
      </c>
      <c r="C62" s="16">
        <v>6680.7</v>
      </c>
      <c r="D62" s="16">
        <v>6555.07</v>
      </c>
      <c r="E62" s="16">
        <v>6644.31</v>
      </c>
      <c r="F62" s="16">
        <v>6644.31</v>
      </c>
      <c r="G62" s="3">
        <v>5666920000</v>
      </c>
    </row>
    <row r="63" spans="1:7" x14ac:dyDescent="0.3">
      <c r="A63" s="1">
        <v>45943</v>
      </c>
      <c r="B63" s="16">
        <v>6622.53</v>
      </c>
      <c r="C63" s="16">
        <v>6668.68</v>
      </c>
      <c r="D63" s="16">
        <v>6620.71</v>
      </c>
      <c r="E63" s="16">
        <v>6654.72</v>
      </c>
      <c r="F63" s="16">
        <v>6654.72</v>
      </c>
      <c r="G63" s="3">
        <v>5303960000</v>
      </c>
    </row>
    <row r="64" spans="1:7" x14ac:dyDescent="0.3">
      <c r="A64" s="1">
        <v>45940</v>
      </c>
      <c r="B64" s="16">
        <v>6740.49</v>
      </c>
      <c r="C64" s="16">
        <v>6762.4</v>
      </c>
      <c r="D64" s="16">
        <v>6550.78</v>
      </c>
      <c r="E64" s="16">
        <v>6552.51</v>
      </c>
      <c r="F64" s="16">
        <v>6552.51</v>
      </c>
      <c r="G64" s="3">
        <v>6596610000</v>
      </c>
    </row>
    <row r="65" spans="1:7" x14ac:dyDescent="0.3">
      <c r="A65" s="1">
        <v>45939</v>
      </c>
      <c r="B65" s="16">
        <v>6760.5</v>
      </c>
      <c r="C65" s="16">
        <v>6764.58</v>
      </c>
      <c r="D65" s="16">
        <v>6716.17</v>
      </c>
      <c r="E65" s="16">
        <v>6735.11</v>
      </c>
      <c r="F65" s="16">
        <v>6735.11</v>
      </c>
      <c r="G65" s="3">
        <v>5385020000</v>
      </c>
    </row>
    <row r="66" spans="1:7" x14ac:dyDescent="0.3">
      <c r="A66" s="1">
        <v>45938</v>
      </c>
      <c r="B66" s="16">
        <v>6723.87</v>
      </c>
      <c r="C66" s="16">
        <v>6755.64</v>
      </c>
      <c r="D66" s="16">
        <v>6718.09</v>
      </c>
      <c r="E66" s="16">
        <v>6753.72</v>
      </c>
      <c r="F66" s="16">
        <v>6753.72</v>
      </c>
      <c r="G66" s="3">
        <v>5383130000</v>
      </c>
    </row>
    <row r="67" spans="1:7" x14ac:dyDescent="0.3">
      <c r="A67" s="1">
        <v>45937</v>
      </c>
      <c r="B67" s="16">
        <v>6746.14</v>
      </c>
      <c r="C67" s="16">
        <v>6754.49</v>
      </c>
      <c r="D67" s="16">
        <v>6699.96</v>
      </c>
      <c r="E67" s="16">
        <v>6714.59</v>
      </c>
      <c r="F67" s="16">
        <v>6714.59</v>
      </c>
      <c r="G67" s="3">
        <v>5546150000</v>
      </c>
    </row>
    <row r="68" spans="1:7" x14ac:dyDescent="0.3">
      <c r="A68" s="1">
        <v>45936</v>
      </c>
      <c r="B68" s="16">
        <v>6733.86</v>
      </c>
      <c r="C68" s="16">
        <v>6749.52</v>
      </c>
      <c r="D68" s="16">
        <v>6717.78</v>
      </c>
      <c r="E68" s="16">
        <v>6740.28</v>
      </c>
      <c r="F68" s="16">
        <v>6740.28</v>
      </c>
      <c r="G68" s="3">
        <v>5604460000</v>
      </c>
    </row>
    <row r="69" spans="1:7" x14ac:dyDescent="0.3">
      <c r="A69" s="1">
        <v>45933</v>
      </c>
      <c r="B69" s="16">
        <v>6722.14</v>
      </c>
      <c r="C69" s="16">
        <v>6750.87</v>
      </c>
      <c r="D69" s="16">
        <v>6705.67</v>
      </c>
      <c r="E69" s="16">
        <v>6715.79</v>
      </c>
      <c r="F69" s="16">
        <v>6715.79</v>
      </c>
      <c r="G69" s="3">
        <v>5713110000</v>
      </c>
    </row>
    <row r="70" spans="1:7" x14ac:dyDescent="0.3">
      <c r="A70" s="1">
        <v>45932</v>
      </c>
      <c r="B70" s="16">
        <v>6731.31</v>
      </c>
      <c r="C70" s="16">
        <v>6731.94</v>
      </c>
      <c r="D70" s="16">
        <v>6693.23</v>
      </c>
      <c r="E70" s="16">
        <v>6715.35</v>
      </c>
      <c r="F70" s="16">
        <v>6715.35</v>
      </c>
      <c r="G70" s="3">
        <v>5416130000</v>
      </c>
    </row>
    <row r="71" spans="1:7" x14ac:dyDescent="0.3">
      <c r="A71" s="1">
        <v>45931</v>
      </c>
      <c r="B71" s="16">
        <v>6664.92</v>
      </c>
      <c r="C71" s="16">
        <v>6718.48</v>
      </c>
      <c r="D71" s="16">
        <v>6656.2</v>
      </c>
      <c r="E71" s="16">
        <v>6711.2</v>
      </c>
      <c r="F71" s="16">
        <v>6711.2</v>
      </c>
      <c r="G71" s="3">
        <v>6037950000</v>
      </c>
    </row>
    <row r="72" spans="1:7" x14ac:dyDescent="0.3">
      <c r="A72" s="1">
        <v>45930</v>
      </c>
      <c r="B72" s="16">
        <v>6656.19</v>
      </c>
      <c r="C72" s="16">
        <v>6691.25</v>
      </c>
      <c r="D72" s="16">
        <v>6641</v>
      </c>
      <c r="E72" s="16">
        <v>6688.46</v>
      </c>
      <c r="F72" s="16">
        <v>6688.46</v>
      </c>
      <c r="G72" s="3">
        <v>6057210000</v>
      </c>
    </row>
    <row r="73" spans="1:7" x14ac:dyDescent="0.3">
      <c r="A73" s="1">
        <v>45929</v>
      </c>
      <c r="B73" s="16">
        <v>6661.58</v>
      </c>
      <c r="C73" s="16">
        <v>6677.31</v>
      </c>
      <c r="D73" s="16">
        <v>6644.49</v>
      </c>
      <c r="E73" s="16">
        <v>6661.21</v>
      </c>
      <c r="F73" s="16">
        <v>6661.21</v>
      </c>
      <c r="G73" s="3">
        <v>5358760000</v>
      </c>
    </row>
    <row r="74" spans="1:7" x14ac:dyDescent="0.3">
      <c r="A74" s="1">
        <v>45926</v>
      </c>
      <c r="B74" s="16">
        <v>6615.38</v>
      </c>
      <c r="C74" s="16">
        <v>6648.97</v>
      </c>
      <c r="D74" s="16">
        <v>6604.43</v>
      </c>
      <c r="E74" s="16">
        <v>6643.7</v>
      </c>
      <c r="F74" s="16">
        <v>6643.7</v>
      </c>
      <c r="G74" s="3">
        <v>5103110000</v>
      </c>
    </row>
    <row r="75" spans="1:7" x14ac:dyDescent="0.3">
      <c r="A75" s="1">
        <v>45925</v>
      </c>
      <c r="B75" s="16">
        <v>6608.19</v>
      </c>
      <c r="C75" s="16">
        <v>6619</v>
      </c>
      <c r="D75" s="16">
        <v>6569.22</v>
      </c>
      <c r="E75" s="16">
        <v>6604.72</v>
      </c>
      <c r="F75" s="16">
        <v>6604.72</v>
      </c>
      <c r="G75" s="3">
        <v>5874670000</v>
      </c>
    </row>
    <row r="76" spans="1:7" x14ac:dyDescent="0.3">
      <c r="A76" s="1">
        <v>45924</v>
      </c>
      <c r="B76" s="16">
        <v>6669.79</v>
      </c>
      <c r="C76" s="16">
        <v>6672.66</v>
      </c>
      <c r="D76" s="16">
        <v>6621.76</v>
      </c>
      <c r="E76" s="16">
        <v>6637.97</v>
      </c>
      <c r="F76" s="16">
        <v>6637.97</v>
      </c>
      <c r="G76" s="3">
        <v>5459180000</v>
      </c>
    </row>
    <row r="77" spans="1:7" x14ac:dyDescent="0.3">
      <c r="A77" s="1">
        <v>45923</v>
      </c>
      <c r="B77" s="16">
        <v>6692.44</v>
      </c>
      <c r="C77" s="16">
        <v>6699.52</v>
      </c>
      <c r="D77" s="16">
        <v>6645.58</v>
      </c>
      <c r="E77" s="16">
        <v>6656.92</v>
      </c>
      <c r="F77" s="16">
        <v>6656.92</v>
      </c>
      <c r="G77" s="3">
        <v>5633620000</v>
      </c>
    </row>
    <row r="78" spans="1:7" x14ac:dyDescent="0.3">
      <c r="A78" s="1">
        <v>45922</v>
      </c>
      <c r="B78" s="16">
        <v>6654.28</v>
      </c>
      <c r="C78" s="16">
        <v>6698.88</v>
      </c>
      <c r="D78" s="16">
        <v>6648.07</v>
      </c>
      <c r="E78" s="16">
        <v>6693.75</v>
      </c>
      <c r="F78" s="16">
        <v>6693.75</v>
      </c>
      <c r="G78" s="3">
        <v>5642620000</v>
      </c>
    </row>
    <row r="79" spans="1:7" x14ac:dyDescent="0.3">
      <c r="A79" s="1">
        <v>45919</v>
      </c>
      <c r="B79" s="16">
        <v>6647.11</v>
      </c>
      <c r="C79" s="16">
        <v>6671.82</v>
      </c>
      <c r="D79" s="16">
        <v>6630.31</v>
      </c>
      <c r="E79" s="16">
        <v>6664.36</v>
      </c>
      <c r="F79" s="16">
        <v>6664.36</v>
      </c>
      <c r="G79" s="3">
        <v>9125960000</v>
      </c>
    </row>
    <row r="80" spans="1:7" x14ac:dyDescent="0.3">
      <c r="A80" s="1">
        <v>45918</v>
      </c>
      <c r="B80" s="16">
        <v>6626.85</v>
      </c>
      <c r="C80" s="16">
        <v>6656.8</v>
      </c>
      <c r="D80" s="16">
        <v>6611.89</v>
      </c>
      <c r="E80" s="16">
        <v>6631.96</v>
      </c>
      <c r="F80" s="16">
        <v>6631.96</v>
      </c>
      <c r="G80" s="3">
        <v>5292400000</v>
      </c>
    </row>
    <row r="81" spans="1:7" x14ac:dyDescent="0.3">
      <c r="A81" s="1">
        <v>45917</v>
      </c>
      <c r="B81" s="16">
        <v>6604.87</v>
      </c>
      <c r="C81" s="16">
        <v>6624.39</v>
      </c>
      <c r="D81" s="16">
        <v>6551.15</v>
      </c>
      <c r="E81" s="16">
        <v>6600.35</v>
      </c>
      <c r="F81" s="16">
        <v>6600.35</v>
      </c>
      <c r="G81" s="3">
        <v>5805340000</v>
      </c>
    </row>
    <row r="82" spans="1:7" x14ac:dyDescent="0.3">
      <c r="A82" s="1">
        <v>45916</v>
      </c>
      <c r="B82" s="16">
        <v>6624.13</v>
      </c>
      <c r="C82" s="16">
        <v>6626.99</v>
      </c>
      <c r="D82" s="16">
        <v>6600.11</v>
      </c>
      <c r="E82" s="16">
        <v>6606.76</v>
      </c>
      <c r="F82" s="16">
        <v>6606.76</v>
      </c>
      <c r="G82" s="3">
        <v>5359510000</v>
      </c>
    </row>
    <row r="83" spans="1:7" x14ac:dyDescent="0.3">
      <c r="A83" s="1">
        <v>45915</v>
      </c>
      <c r="B83" s="16">
        <v>6603.49</v>
      </c>
      <c r="C83" s="16">
        <v>6619.62</v>
      </c>
      <c r="D83" s="16">
        <v>6602.07</v>
      </c>
      <c r="E83" s="16">
        <v>6615.28</v>
      </c>
      <c r="F83" s="16">
        <v>6615.28</v>
      </c>
      <c r="G83" s="3">
        <v>5045020000</v>
      </c>
    </row>
    <row r="84" spans="1:7" x14ac:dyDescent="0.3">
      <c r="A84" s="1">
        <v>45912</v>
      </c>
      <c r="B84" s="16">
        <v>6590.66</v>
      </c>
      <c r="C84" s="16">
        <v>6600.21</v>
      </c>
      <c r="D84" s="16">
        <v>6579.49</v>
      </c>
      <c r="E84" s="16">
        <v>6584.29</v>
      </c>
      <c r="F84" s="16">
        <v>6584.29</v>
      </c>
      <c r="G84" s="3">
        <v>4641640000</v>
      </c>
    </row>
    <row r="85" spans="1:7" x14ac:dyDescent="0.3">
      <c r="A85" s="1">
        <v>45911</v>
      </c>
      <c r="B85" s="16">
        <v>6554.41</v>
      </c>
      <c r="C85" s="16">
        <v>6592.89</v>
      </c>
      <c r="D85" s="16">
        <v>6545.8</v>
      </c>
      <c r="E85" s="16">
        <v>6587.47</v>
      </c>
      <c r="F85" s="16">
        <v>6587.47</v>
      </c>
      <c r="G85" s="3">
        <v>5426460000</v>
      </c>
    </row>
    <row r="86" spans="1:7" x14ac:dyDescent="0.3">
      <c r="A86" s="1">
        <v>45910</v>
      </c>
      <c r="B86" s="16">
        <v>6550.29</v>
      </c>
      <c r="C86" s="16">
        <v>6555.97</v>
      </c>
      <c r="D86" s="16">
        <v>6516.34</v>
      </c>
      <c r="E86" s="16">
        <v>6532.04</v>
      </c>
      <c r="F86" s="16">
        <v>6532.04</v>
      </c>
      <c r="G86" s="3">
        <v>5253010000</v>
      </c>
    </row>
    <row r="87" spans="1:7" x14ac:dyDescent="0.3">
      <c r="A87" s="1">
        <v>45909</v>
      </c>
      <c r="B87" s="16">
        <v>6503.33</v>
      </c>
      <c r="C87" s="16">
        <v>6518.23</v>
      </c>
      <c r="D87" s="16">
        <v>6483.08</v>
      </c>
      <c r="E87" s="16">
        <v>6512.61</v>
      </c>
      <c r="F87" s="16">
        <v>6512.61</v>
      </c>
      <c r="G87" s="3">
        <v>4798350000</v>
      </c>
    </row>
    <row r="88" spans="1:7" x14ac:dyDescent="0.3">
      <c r="A88" s="1">
        <v>45908</v>
      </c>
      <c r="B88" s="16">
        <v>6498.09</v>
      </c>
      <c r="C88" s="16">
        <v>6508.67</v>
      </c>
      <c r="D88" s="16">
        <v>6483.29</v>
      </c>
      <c r="E88" s="16">
        <v>6495.15</v>
      </c>
      <c r="F88" s="16">
        <v>6495.15</v>
      </c>
      <c r="G88" s="3">
        <v>5211500000</v>
      </c>
    </row>
    <row r="89" spans="1:7" x14ac:dyDescent="0.3">
      <c r="A89" s="1">
        <v>45905</v>
      </c>
      <c r="B89" s="16">
        <v>6529.08</v>
      </c>
      <c r="C89" s="16">
        <v>6532.65</v>
      </c>
      <c r="D89" s="16">
        <v>6443.98</v>
      </c>
      <c r="E89" s="16">
        <v>6481.5</v>
      </c>
      <c r="F89" s="16">
        <v>6481.5</v>
      </c>
      <c r="G89" s="3">
        <v>5066120000</v>
      </c>
    </row>
    <row r="90" spans="1:7" x14ac:dyDescent="0.3">
      <c r="A90" s="1">
        <v>45904</v>
      </c>
      <c r="B90" s="16">
        <v>6456.6</v>
      </c>
      <c r="C90" s="16">
        <v>6502.54</v>
      </c>
      <c r="D90" s="16">
        <v>6445.98</v>
      </c>
      <c r="E90" s="16">
        <v>6502.08</v>
      </c>
      <c r="F90" s="16">
        <v>6502.08</v>
      </c>
      <c r="G90" s="3">
        <v>4670770000</v>
      </c>
    </row>
    <row r="91" spans="1:7" x14ac:dyDescent="0.3">
      <c r="A91" s="1">
        <v>45903</v>
      </c>
      <c r="B91" s="16">
        <v>6445.82</v>
      </c>
      <c r="C91" s="16">
        <v>6453.67</v>
      </c>
      <c r="D91" s="16">
        <v>6416.17</v>
      </c>
      <c r="E91" s="16">
        <v>6448.26</v>
      </c>
      <c r="F91" s="16">
        <v>6448.26</v>
      </c>
      <c r="G91" s="3">
        <v>4465360000</v>
      </c>
    </row>
    <row r="92" spans="1:7" x14ac:dyDescent="0.3">
      <c r="A92" s="1">
        <v>45902</v>
      </c>
      <c r="B92" s="16">
        <v>6401.51</v>
      </c>
      <c r="C92" s="16">
        <v>6416.54</v>
      </c>
      <c r="D92" s="16">
        <v>6360.58</v>
      </c>
      <c r="E92" s="16">
        <v>6415.54</v>
      </c>
      <c r="F92" s="16">
        <v>6415.54</v>
      </c>
      <c r="G92" s="3">
        <v>4784000000</v>
      </c>
    </row>
    <row r="93" spans="1:7" x14ac:dyDescent="0.3">
      <c r="A93" s="1">
        <v>45898</v>
      </c>
      <c r="B93" s="16">
        <v>6489.28</v>
      </c>
      <c r="C93" s="16">
        <v>6491.76</v>
      </c>
      <c r="D93" s="16">
        <v>6444.57</v>
      </c>
      <c r="E93" s="16">
        <v>6460.26</v>
      </c>
      <c r="F93" s="16">
        <v>6460.26</v>
      </c>
      <c r="G93" s="3">
        <v>4234840000</v>
      </c>
    </row>
    <row r="94" spans="1:7" x14ac:dyDescent="0.3">
      <c r="A94" s="1">
        <v>45897</v>
      </c>
      <c r="B94" s="16">
        <v>6483.84</v>
      </c>
      <c r="C94" s="16">
        <v>6508.23</v>
      </c>
      <c r="D94" s="16">
        <v>6466.96</v>
      </c>
      <c r="E94" s="16">
        <v>6501.86</v>
      </c>
      <c r="F94" s="16">
        <v>6501.86</v>
      </c>
      <c r="G94" s="3">
        <v>4283760000</v>
      </c>
    </row>
    <row r="95" spans="1:7" x14ac:dyDescent="0.3">
      <c r="A95" s="1">
        <v>45896</v>
      </c>
      <c r="B95" s="16">
        <v>6462.26</v>
      </c>
      <c r="C95" s="16">
        <v>6487.06</v>
      </c>
      <c r="D95" s="16">
        <v>6457.84</v>
      </c>
      <c r="E95" s="16">
        <v>6481.4</v>
      </c>
      <c r="F95" s="16">
        <v>6481.4</v>
      </c>
      <c r="G95" s="3">
        <v>4143680000</v>
      </c>
    </row>
    <row r="96" spans="1:7" x14ac:dyDescent="0.3">
      <c r="A96" s="1">
        <v>45895</v>
      </c>
      <c r="B96" s="16">
        <v>6435.49</v>
      </c>
      <c r="C96" s="16">
        <v>6468.37</v>
      </c>
      <c r="D96" s="16">
        <v>6429.21</v>
      </c>
      <c r="E96" s="16">
        <v>6465.94</v>
      </c>
      <c r="F96" s="16">
        <v>6465.94</v>
      </c>
      <c r="G96" s="3">
        <v>4867680000</v>
      </c>
    </row>
    <row r="97" spans="1:7" x14ac:dyDescent="0.3">
      <c r="A97" s="1">
        <v>45894</v>
      </c>
      <c r="B97" s="16">
        <v>6457.67</v>
      </c>
      <c r="C97" s="16">
        <v>6466.89</v>
      </c>
      <c r="D97" s="16">
        <v>6438.06</v>
      </c>
      <c r="E97" s="16">
        <v>6439.32</v>
      </c>
      <c r="F97" s="16">
        <v>6439.32</v>
      </c>
      <c r="G97" s="3">
        <v>4059070000</v>
      </c>
    </row>
    <row r="98" spans="1:7" x14ac:dyDescent="0.3">
      <c r="A98" s="1">
        <v>45891</v>
      </c>
      <c r="B98" s="16">
        <v>6384.59</v>
      </c>
      <c r="C98" s="16">
        <v>6478.89</v>
      </c>
      <c r="D98" s="16">
        <v>6384.59</v>
      </c>
      <c r="E98" s="16">
        <v>6466.91</v>
      </c>
      <c r="F98" s="16">
        <v>6466.91</v>
      </c>
      <c r="G98" s="3">
        <v>5046860000</v>
      </c>
    </row>
    <row r="99" spans="1:7" x14ac:dyDescent="0.3">
      <c r="A99" s="1">
        <v>45890</v>
      </c>
      <c r="B99" s="16">
        <v>6380.83</v>
      </c>
      <c r="C99" s="16">
        <v>6393.65</v>
      </c>
      <c r="D99" s="16">
        <v>6352.71</v>
      </c>
      <c r="E99" s="16">
        <v>6370.17</v>
      </c>
      <c r="F99" s="16">
        <v>6370.17</v>
      </c>
      <c r="G99" s="3">
        <v>4013560000</v>
      </c>
    </row>
    <row r="100" spans="1:7" x14ac:dyDescent="0.3">
      <c r="A100" s="1">
        <v>45889</v>
      </c>
      <c r="B100" s="16">
        <v>6406.62</v>
      </c>
      <c r="C100" s="16">
        <v>6408.4</v>
      </c>
      <c r="D100" s="16">
        <v>6343.86</v>
      </c>
      <c r="E100" s="16">
        <v>6395.78</v>
      </c>
      <c r="F100" s="16">
        <v>6395.78</v>
      </c>
      <c r="G100" s="3">
        <v>4470390000</v>
      </c>
    </row>
    <row r="101" spans="1:7" x14ac:dyDescent="0.3">
      <c r="A101" s="1">
        <v>45888</v>
      </c>
      <c r="B101" s="16">
        <v>6446.24</v>
      </c>
      <c r="C101" s="16">
        <v>6456.48</v>
      </c>
      <c r="D101" s="16">
        <v>6400.22</v>
      </c>
      <c r="E101" s="16">
        <v>6411.37</v>
      </c>
      <c r="F101" s="16">
        <v>6411.37</v>
      </c>
      <c r="G101" s="3">
        <v>4377440000</v>
      </c>
    </row>
    <row r="102" spans="1:7" x14ac:dyDescent="0.3">
      <c r="A102" s="1">
        <v>45887</v>
      </c>
      <c r="B102" s="16">
        <v>6445.02</v>
      </c>
      <c r="C102" s="16">
        <v>6455.35</v>
      </c>
      <c r="D102" s="16">
        <v>6437.7</v>
      </c>
      <c r="E102" s="16">
        <v>6449.15</v>
      </c>
      <c r="F102" s="16">
        <v>6449.15</v>
      </c>
      <c r="G102" s="3">
        <v>4162290000</v>
      </c>
    </row>
    <row r="103" spans="1:7" x14ac:dyDescent="0.3">
      <c r="A103" s="1">
        <v>45884</v>
      </c>
      <c r="B103" s="16">
        <v>6477.38</v>
      </c>
      <c r="C103" s="16">
        <v>6481.34</v>
      </c>
      <c r="D103" s="16">
        <v>6441.85</v>
      </c>
      <c r="E103" s="16">
        <v>6449.8</v>
      </c>
      <c r="F103" s="16">
        <v>6449.8</v>
      </c>
      <c r="G103" s="3">
        <v>4575060000</v>
      </c>
    </row>
    <row r="104" spans="1:7" x14ac:dyDescent="0.3">
      <c r="A104" s="1">
        <v>45883</v>
      </c>
      <c r="B104" s="16">
        <v>6453.46</v>
      </c>
      <c r="C104" s="16">
        <v>6473.92</v>
      </c>
      <c r="D104" s="16">
        <v>6441.07</v>
      </c>
      <c r="E104" s="16">
        <v>6468.54</v>
      </c>
      <c r="F104" s="16">
        <v>6468.54</v>
      </c>
      <c r="G104" s="3">
        <v>4462050000</v>
      </c>
    </row>
    <row r="105" spans="1:7" x14ac:dyDescent="0.3">
      <c r="A105" s="1">
        <v>45882</v>
      </c>
      <c r="B105" s="16">
        <v>6462.67</v>
      </c>
      <c r="C105" s="16">
        <v>6480.28</v>
      </c>
      <c r="D105" s="16">
        <v>6445.02</v>
      </c>
      <c r="E105" s="16">
        <v>6466.58</v>
      </c>
      <c r="F105" s="16">
        <v>6466.58</v>
      </c>
      <c r="G105" s="3">
        <v>5195950000</v>
      </c>
    </row>
    <row r="106" spans="1:7" x14ac:dyDescent="0.3">
      <c r="A106" s="1">
        <v>45881</v>
      </c>
      <c r="B106" s="16">
        <v>6395.17</v>
      </c>
      <c r="C106" s="16">
        <v>6446.55</v>
      </c>
      <c r="D106" s="16">
        <v>6385.76</v>
      </c>
      <c r="E106" s="16">
        <v>6445.76</v>
      </c>
      <c r="F106" s="16">
        <v>6445.76</v>
      </c>
      <c r="G106" s="3">
        <v>5135300000</v>
      </c>
    </row>
    <row r="107" spans="1:7" x14ac:dyDescent="0.3">
      <c r="A107" s="1">
        <v>45880</v>
      </c>
      <c r="B107" s="16">
        <v>6389.67</v>
      </c>
      <c r="C107" s="16">
        <v>6407.25</v>
      </c>
      <c r="D107" s="16">
        <v>6364.06</v>
      </c>
      <c r="E107" s="16">
        <v>6373.45</v>
      </c>
      <c r="F107" s="16">
        <v>6373.45</v>
      </c>
      <c r="G107" s="3">
        <v>4652400000</v>
      </c>
    </row>
    <row r="108" spans="1:7" x14ac:dyDescent="0.3">
      <c r="A108" s="1">
        <v>45877</v>
      </c>
      <c r="B108" s="16">
        <v>6355.22</v>
      </c>
      <c r="C108" s="16">
        <v>6395.16</v>
      </c>
      <c r="D108" s="16">
        <v>6355.22</v>
      </c>
      <c r="E108" s="16">
        <v>6389.45</v>
      </c>
      <c r="F108" s="16">
        <v>6389.45</v>
      </c>
      <c r="G108" s="3">
        <v>4769910000</v>
      </c>
    </row>
    <row r="109" spans="1:7" x14ac:dyDescent="0.3">
      <c r="A109" s="1">
        <v>45876</v>
      </c>
      <c r="B109" s="16">
        <v>6374.32</v>
      </c>
      <c r="C109" s="16">
        <v>6389.71</v>
      </c>
      <c r="D109" s="16">
        <v>6310.32</v>
      </c>
      <c r="E109" s="16">
        <v>6340</v>
      </c>
      <c r="F109" s="16">
        <v>6340</v>
      </c>
      <c r="G109" s="3">
        <v>5306090000</v>
      </c>
    </row>
    <row r="110" spans="1:7" x14ac:dyDescent="0.3">
      <c r="A110" s="1">
        <v>45875</v>
      </c>
      <c r="B110" s="16">
        <v>6309.3</v>
      </c>
      <c r="C110" s="16">
        <v>6352.83</v>
      </c>
      <c r="D110" s="16">
        <v>6301.11</v>
      </c>
      <c r="E110" s="16">
        <v>6345.06</v>
      </c>
      <c r="F110" s="16">
        <v>6345.06</v>
      </c>
      <c r="G110" s="3">
        <v>5408560000</v>
      </c>
    </row>
    <row r="111" spans="1:7" x14ac:dyDescent="0.3">
      <c r="A111" s="1">
        <v>45874</v>
      </c>
      <c r="B111" s="16">
        <v>6336.63</v>
      </c>
      <c r="C111" s="16">
        <v>6346</v>
      </c>
      <c r="D111" s="16">
        <v>6289.37</v>
      </c>
      <c r="E111" s="16">
        <v>6299.19</v>
      </c>
      <c r="F111" s="16">
        <v>6299.19</v>
      </c>
      <c r="G111" s="3">
        <v>5517410000</v>
      </c>
    </row>
    <row r="112" spans="1:7" x14ac:dyDescent="0.3">
      <c r="A112" s="1">
        <v>45873</v>
      </c>
      <c r="B112" s="16">
        <v>6271.71</v>
      </c>
      <c r="C112" s="16">
        <v>6330.69</v>
      </c>
      <c r="D112" s="16">
        <v>6271.71</v>
      </c>
      <c r="E112" s="16">
        <v>6329.94</v>
      </c>
      <c r="F112" s="16">
        <v>6329.94</v>
      </c>
      <c r="G112" s="3">
        <v>4842580000</v>
      </c>
    </row>
    <row r="113" spans="1:7" x14ac:dyDescent="0.3">
      <c r="A113" s="1">
        <v>45870</v>
      </c>
      <c r="B113" s="16">
        <v>6287.28</v>
      </c>
      <c r="C113" s="16">
        <v>6287.28</v>
      </c>
      <c r="D113" s="16">
        <v>6212.69</v>
      </c>
      <c r="E113" s="16">
        <v>6238.01</v>
      </c>
      <c r="F113" s="16">
        <v>6238.01</v>
      </c>
      <c r="G113" s="3">
        <v>5827150000</v>
      </c>
    </row>
    <row r="114" spans="1:7" x14ac:dyDescent="0.3">
      <c r="A114" s="1">
        <v>45869</v>
      </c>
      <c r="B114" s="16">
        <v>6427.02</v>
      </c>
      <c r="C114" s="16">
        <v>6427.02</v>
      </c>
      <c r="D114" s="16">
        <v>6327.64</v>
      </c>
      <c r="E114" s="16">
        <v>6339.39</v>
      </c>
      <c r="F114" s="16">
        <v>6339.39</v>
      </c>
      <c r="G114" s="3">
        <v>6077080000</v>
      </c>
    </row>
    <row r="115" spans="1:7" x14ac:dyDescent="0.3">
      <c r="A115" s="1">
        <v>45868</v>
      </c>
      <c r="B115" s="16">
        <v>6381.23</v>
      </c>
      <c r="C115" s="16">
        <v>6396.54</v>
      </c>
      <c r="D115" s="16">
        <v>6336.38</v>
      </c>
      <c r="E115" s="16">
        <v>6362.9</v>
      </c>
      <c r="F115" s="16">
        <v>6362.9</v>
      </c>
      <c r="G115" s="3">
        <v>5375070000</v>
      </c>
    </row>
    <row r="116" spans="1:7" x14ac:dyDescent="0.3">
      <c r="A116" s="1">
        <v>45867</v>
      </c>
      <c r="B116" s="16">
        <v>6405.62</v>
      </c>
      <c r="C116" s="16">
        <v>6409.26</v>
      </c>
      <c r="D116" s="16">
        <v>6363.92</v>
      </c>
      <c r="E116" s="16">
        <v>6370.86</v>
      </c>
      <c r="F116" s="16">
        <v>6370.86</v>
      </c>
      <c r="G116" s="3">
        <v>5076120000</v>
      </c>
    </row>
    <row r="117" spans="1:7" x14ac:dyDescent="0.3">
      <c r="A117" s="1">
        <v>45866</v>
      </c>
      <c r="B117" s="16">
        <v>6397.69</v>
      </c>
      <c r="C117" s="16">
        <v>6401.07</v>
      </c>
      <c r="D117" s="16">
        <v>6375.79</v>
      </c>
      <c r="E117" s="16">
        <v>6389.77</v>
      </c>
      <c r="F117" s="16">
        <v>6389.77</v>
      </c>
      <c r="G117" s="3">
        <v>4565620000</v>
      </c>
    </row>
    <row r="118" spans="1:7" x14ac:dyDescent="0.3">
      <c r="A118" s="1">
        <v>45863</v>
      </c>
      <c r="B118" s="16">
        <v>6370.01</v>
      </c>
      <c r="C118" s="16">
        <v>6395.82</v>
      </c>
      <c r="D118" s="16">
        <v>6368.53</v>
      </c>
      <c r="E118" s="16">
        <v>6388.64</v>
      </c>
      <c r="F118" s="16">
        <v>6388.64</v>
      </c>
      <c r="G118" s="3">
        <v>4470720000</v>
      </c>
    </row>
    <row r="119" spans="1:7" x14ac:dyDescent="0.3">
      <c r="A119" s="1">
        <v>45862</v>
      </c>
      <c r="B119" s="16">
        <v>6368.6</v>
      </c>
      <c r="C119" s="16">
        <v>6381.31</v>
      </c>
      <c r="D119" s="16">
        <v>6360.57</v>
      </c>
      <c r="E119" s="16">
        <v>6363.35</v>
      </c>
      <c r="F119" s="16">
        <v>6363.35</v>
      </c>
      <c r="G119" s="3">
        <v>5282720000</v>
      </c>
    </row>
    <row r="120" spans="1:7" x14ac:dyDescent="0.3">
      <c r="A120" s="1">
        <v>45861</v>
      </c>
      <c r="B120" s="16">
        <v>6326.9</v>
      </c>
      <c r="C120" s="16">
        <v>6360.64</v>
      </c>
      <c r="D120" s="16">
        <v>6317.49</v>
      </c>
      <c r="E120" s="16">
        <v>6358.91</v>
      </c>
      <c r="F120" s="16">
        <v>6358.91</v>
      </c>
      <c r="G120" s="3">
        <v>5642510000</v>
      </c>
    </row>
    <row r="121" spans="1:7" x14ac:dyDescent="0.3">
      <c r="A121" s="1">
        <v>45860</v>
      </c>
      <c r="B121" s="16">
        <v>6306.6</v>
      </c>
      <c r="C121" s="16">
        <v>6316.12</v>
      </c>
      <c r="D121" s="16">
        <v>6281.71</v>
      </c>
      <c r="E121" s="16">
        <v>6309.62</v>
      </c>
      <c r="F121" s="16">
        <v>6309.62</v>
      </c>
      <c r="G121" s="3">
        <v>5662040000</v>
      </c>
    </row>
    <row r="122" spans="1:7" x14ac:dyDescent="0.3">
      <c r="A122" s="1">
        <v>45859</v>
      </c>
      <c r="B122" s="16">
        <v>6304.74</v>
      </c>
      <c r="C122" s="16">
        <v>6336.08</v>
      </c>
      <c r="D122" s="16">
        <v>6303.79</v>
      </c>
      <c r="E122" s="16">
        <v>6305.6</v>
      </c>
      <c r="F122" s="16">
        <v>6305.6</v>
      </c>
      <c r="G122" s="3">
        <v>5010840000</v>
      </c>
    </row>
    <row r="123" spans="1:7" x14ac:dyDescent="0.3">
      <c r="A123" s="1">
        <v>45856</v>
      </c>
      <c r="B123" s="16">
        <v>6312.95</v>
      </c>
      <c r="C123" s="16">
        <v>6315.61</v>
      </c>
      <c r="D123" s="16">
        <v>6285.27</v>
      </c>
      <c r="E123" s="16">
        <v>6296.79</v>
      </c>
      <c r="F123" s="16">
        <v>6296.79</v>
      </c>
      <c r="G123" s="3">
        <v>5184700000</v>
      </c>
    </row>
    <row r="124" spans="1:7" x14ac:dyDescent="0.3">
      <c r="A124" s="1">
        <v>45855</v>
      </c>
      <c r="B124" s="16">
        <v>6263.4</v>
      </c>
      <c r="C124" s="16">
        <v>6304.69</v>
      </c>
      <c r="D124" s="16">
        <v>6262.27</v>
      </c>
      <c r="E124" s="16">
        <v>6297.36</v>
      </c>
      <c r="F124" s="16">
        <v>6297.36</v>
      </c>
      <c r="G124" s="3">
        <v>5512290000</v>
      </c>
    </row>
    <row r="125" spans="1:7" x14ac:dyDescent="0.3">
      <c r="A125" s="1">
        <v>45854</v>
      </c>
      <c r="B125" s="16">
        <v>6254.5</v>
      </c>
      <c r="C125" s="16">
        <v>6268.12</v>
      </c>
      <c r="D125" s="16">
        <v>6201.59</v>
      </c>
      <c r="E125" s="16">
        <v>6263.7</v>
      </c>
      <c r="F125" s="16">
        <v>6263.7</v>
      </c>
      <c r="G125" s="3">
        <v>5177460000</v>
      </c>
    </row>
    <row r="126" spans="1:7" x14ac:dyDescent="0.3">
      <c r="A126" s="1">
        <v>45853</v>
      </c>
      <c r="B126" s="16">
        <v>6295.29</v>
      </c>
      <c r="C126" s="16">
        <v>6302.04</v>
      </c>
      <c r="D126" s="16">
        <v>6241.68</v>
      </c>
      <c r="E126" s="16">
        <v>6243.76</v>
      </c>
      <c r="F126" s="16">
        <v>6243.76</v>
      </c>
      <c r="G126" s="3">
        <v>5133670000</v>
      </c>
    </row>
    <row r="127" spans="1:7" x14ac:dyDescent="0.3">
      <c r="A127" s="1">
        <v>45852</v>
      </c>
      <c r="B127" s="16">
        <v>6255.15</v>
      </c>
      <c r="C127" s="16">
        <v>6273.31</v>
      </c>
      <c r="D127" s="16">
        <v>6239.22</v>
      </c>
      <c r="E127" s="16">
        <v>6268.56</v>
      </c>
      <c r="F127" s="16">
        <v>6268.56</v>
      </c>
      <c r="G127" s="3">
        <v>4722250000</v>
      </c>
    </row>
    <row r="128" spans="1:7" x14ac:dyDescent="0.3">
      <c r="A128" s="1">
        <v>45849</v>
      </c>
      <c r="B128" s="16">
        <v>6255.68</v>
      </c>
      <c r="C128" s="16">
        <v>6269.44</v>
      </c>
      <c r="D128" s="16">
        <v>6237.6</v>
      </c>
      <c r="E128" s="16">
        <v>6259.75</v>
      </c>
      <c r="F128" s="16">
        <v>6259.75</v>
      </c>
      <c r="G128" s="3">
        <v>4656210000</v>
      </c>
    </row>
    <row r="129" spans="1:7" x14ac:dyDescent="0.3">
      <c r="A129" s="1">
        <v>45848</v>
      </c>
      <c r="B129" s="16">
        <v>6266.8</v>
      </c>
      <c r="C129" s="16">
        <v>6290.22</v>
      </c>
      <c r="D129" s="16">
        <v>6251.44</v>
      </c>
      <c r="E129" s="16">
        <v>6280.46</v>
      </c>
      <c r="F129" s="16">
        <v>6280.46</v>
      </c>
      <c r="G129" s="3">
        <v>5367350000</v>
      </c>
    </row>
    <row r="130" spans="1:7" x14ac:dyDescent="0.3">
      <c r="A130" s="1">
        <v>45847</v>
      </c>
      <c r="B130" s="16">
        <v>6243.33</v>
      </c>
      <c r="C130" s="16">
        <v>6269.16</v>
      </c>
      <c r="D130" s="16">
        <v>6231.43</v>
      </c>
      <c r="E130" s="16">
        <v>6263.26</v>
      </c>
      <c r="F130" s="16">
        <v>6263.26</v>
      </c>
      <c r="G130" s="3">
        <v>4813340000</v>
      </c>
    </row>
    <row r="131" spans="1:7" x14ac:dyDescent="0.3">
      <c r="A131" s="1">
        <v>45846</v>
      </c>
      <c r="B131" s="16">
        <v>6234.03</v>
      </c>
      <c r="C131" s="16">
        <v>6242.7</v>
      </c>
      <c r="D131" s="16">
        <v>6217.75</v>
      </c>
      <c r="E131" s="16">
        <v>6225.52</v>
      </c>
      <c r="F131" s="16">
        <v>6225.52</v>
      </c>
      <c r="G131" s="3">
        <v>5739030000</v>
      </c>
    </row>
    <row r="132" spans="1:7" x14ac:dyDescent="0.3">
      <c r="A132" s="1">
        <v>45845</v>
      </c>
      <c r="B132" s="16">
        <v>6259.04</v>
      </c>
      <c r="C132" s="16">
        <v>6262.07</v>
      </c>
      <c r="D132" s="16">
        <v>6201</v>
      </c>
      <c r="E132" s="16">
        <v>6229.98</v>
      </c>
      <c r="F132" s="16">
        <v>6229.98</v>
      </c>
      <c r="G132" s="3">
        <v>5236740000</v>
      </c>
    </row>
    <row r="133" spans="1:7" x14ac:dyDescent="0.3">
      <c r="A133" s="1">
        <v>45841</v>
      </c>
      <c r="B133" s="16">
        <v>6246.46</v>
      </c>
      <c r="C133" s="16">
        <v>6284.65</v>
      </c>
      <c r="D133" s="16">
        <v>6246.46</v>
      </c>
      <c r="E133" s="16">
        <v>6279.35</v>
      </c>
      <c r="F133" s="16">
        <v>6279.35</v>
      </c>
      <c r="G133" s="3">
        <v>3378110000</v>
      </c>
    </row>
    <row r="134" spans="1:7" x14ac:dyDescent="0.3">
      <c r="A134" s="1">
        <v>45840</v>
      </c>
      <c r="B134" s="16">
        <v>6193.88</v>
      </c>
      <c r="C134" s="16">
        <v>6227.6</v>
      </c>
      <c r="D134" s="16">
        <v>6188.29</v>
      </c>
      <c r="E134" s="16">
        <v>6227.42</v>
      </c>
      <c r="F134" s="16">
        <v>6227.42</v>
      </c>
      <c r="G134" s="3">
        <v>5645710000</v>
      </c>
    </row>
    <row r="135" spans="1:7" x14ac:dyDescent="0.3">
      <c r="A135" s="1">
        <v>45839</v>
      </c>
      <c r="B135" s="16">
        <v>6187.25</v>
      </c>
      <c r="C135" s="16">
        <v>6210.78</v>
      </c>
      <c r="D135" s="16">
        <v>6177.97</v>
      </c>
      <c r="E135" s="16">
        <v>6198.01</v>
      </c>
      <c r="F135" s="16">
        <v>6198.01</v>
      </c>
      <c r="G135" s="3">
        <v>6275310000</v>
      </c>
    </row>
    <row r="136" spans="1:7" x14ac:dyDescent="0.3">
      <c r="A136" s="1">
        <v>45838</v>
      </c>
      <c r="B136" s="16">
        <v>6193.36</v>
      </c>
      <c r="C136" s="16">
        <v>6215.08</v>
      </c>
      <c r="D136" s="16">
        <v>6174.97</v>
      </c>
      <c r="E136" s="16">
        <v>6204.95</v>
      </c>
      <c r="F136" s="16">
        <v>6204.95</v>
      </c>
      <c r="G136" s="3">
        <v>5782900000</v>
      </c>
    </row>
    <row r="137" spans="1:7" x14ac:dyDescent="0.3">
      <c r="A137" s="1">
        <v>45835</v>
      </c>
      <c r="B137" s="16">
        <v>6150.7</v>
      </c>
      <c r="C137" s="16">
        <v>6187.68</v>
      </c>
      <c r="D137" s="16">
        <v>6132.35</v>
      </c>
      <c r="E137" s="16">
        <v>6173.07</v>
      </c>
      <c r="F137" s="16">
        <v>6173.07</v>
      </c>
      <c r="G137" s="3">
        <v>7889350000</v>
      </c>
    </row>
    <row r="138" spans="1:7" x14ac:dyDescent="0.3">
      <c r="A138" s="1">
        <v>45834</v>
      </c>
      <c r="B138" s="16">
        <v>6112.09</v>
      </c>
      <c r="C138" s="16">
        <v>6146.52</v>
      </c>
      <c r="D138" s="16">
        <v>6107.27</v>
      </c>
      <c r="E138" s="16">
        <v>6141.02</v>
      </c>
      <c r="F138" s="16">
        <v>6141.02</v>
      </c>
      <c r="G138" s="3">
        <v>5308140000</v>
      </c>
    </row>
    <row r="139" spans="1:7" x14ac:dyDescent="0.3">
      <c r="A139" s="1">
        <v>45833</v>
      </c>
      <c r="B139" s="16">
        <v>6104.23</v>
      </c>
      <c r="C139" s="16">
        <v>6108.51</v>
      </c>
      <c r="D139" s="16">
        <v>6080.09</v>
      </c>
      <c r="E139" s="16">
        <v>6092.16</v>
      </c>
      <c r="F139" s="16">
        <v>6092.16</v>
      </c>
      <c r="G139" s="3">
        <v>5171110000</v>
      </c>
    </row>
    <row r="140" spans="1:7" x14ac:dyDescent="0.3">
      <c r="A140" s="1">
        <v>45832</v>
      </c>
      <c r="B140" s="16">
        <v>6061.21</v>
      </c>
      <c r="C140" s="16">
        <v>6101.76</v>
      </c>
      <c r="D140" s="16">
        <v>6059.25</v>
      </c>
      <c r="E140" s="16">
        <v>6092.18</v>
      </c>
      <c r="F140" s="16">
        <v>6092.18</v>
      </c>
      <c r="G140" s="3">
        <v>5443690000</v>
      </c>
    </row>
    <row r="141" spans="1:7" x14ac:dyDescent="0.3">
      <c r="A141" s="1">
        <v>45831</v>
      </c>
      <c r="B141" s="16">
        <v>5969.67</v>
      </c>
      <c r="C141" s="16">
        <v>6028.77</v>
      </c>
      <c r="D141" s="16">
        <v>5943.23</v>
      </c>
      <c r="E141" s="16">
        <v>6025.17</v>
      </c>
      <c r="F141" s="16">
        <v>6025.17</v>
      </c>
      <c r="G141" s="3">
        <v>5597000000</v>
      </c>
    </row>
    <row r="142" spans="1:7" x14ac:dyDescent="0.3">
      <c r="A142" s="1">
        <v>45828</v>
      </c>
      <c r="B142" s="16">
        <v>5999.67</v>
      </c>
      <c r="C142" s="16">
        <v>6018.2</v>
      </c>
      <c r="D142" s="16">
        <v>5952.56</v>
      </c>
      <c r="E142" s="16">
        <v>5967.84</v>
      </c>
      <c r="F142" s="16">
        <v>5967.84</v>
      </c>
      <c r="G142" s="3">
        <v>7451500000</v>
      </c>
    </row>
    <row r="143" spans="1:7" x14ac:dyDescent="0.3">
      <c r="A143" s="1">
        <v>45826</v>
      </c>
      <c r="B143" s="16">
        <v>5987.93</v>
      </c>
      <c r="C143" s="16">
        <v>6018.25</v>
      </c>
      <c r="D143" s="16">
        <v>5971.89</v>
      </c>
      <c r="E143" s="16">
        <v>5980.87</v>
      </c>
      <c r="F143" s="16">
        <v>5980.87</v>
      </c>
      <c r="G143" s="3">
        <v>5106470000</v>
      </c>
    </row>
    <row r="144" spans="1:7" x14ac:dyDescent="0.3">
      <c r="A144" s="1">
        <v>45825</v>
      </c>
      <c r="B144" s="16">
        <v>6012.15</v>
      </c>
      <c r="C144" s="16">
        <v>6023.25</v>
      </c>
      <c r="D144" s="16">
        <v>5974.8</v>
      </c>
      <c r="E144" s="16">
        <v>5982.72</v>
      </c>
      <c r="F144" s="16">
        <v>5982.72</v>
      </c>
      <c r="G144" s="3">
        <v>4955700000</v>
      </c>
    </row>
    <row r="145" spans="1:7" x14ac:dyDescent="0.3">
      <c r="A145" s="1">
        <v>45824</v>
      </c>
      <c r="B145" s="16">
        <v>6004</v>
      </c>
      <c r="C145" s="16">
        <v>6050.83</v>
      </c>
      <c r="D145" s="16">
        <v>6004</v>
      </c>
      <c r="E145" s="16">
        <v>6033.11</v>
      </c>
      <c r="F145" s="16">
        <v>6033.11</v>
      </c>
      <c r="G145" s="3">
        <v>5117100000</v>
      </c>
    </row>
    <row r="146" spans="1:7" x14ac:dyDescent="0.3">
      <c r="A146" s="1">
        <v>45821</v>
      </c>
      <c r="B146" s="16">
        <v>6000.56</v>
      </c>
      <c r="C146" s="16">
        <v>6026.16</v>
      </c>
      <c r="D146" s="16">
        <v>5963.21</v>
      </c>
      <c r="E146" s="16">
        <v>5976.97</v>
      </c>
      <c r="F146" s="16">
        <v>5976.97</v>
      </c>
      <c r="G146" s="3">
        <v>5258910000</v>
      </c>
    </row>
    <row r="147" spans="1:7" x14ac:dyDescent="0.3">
      <c r="A147" s="1">
        <v>45820</v>
      </c>
      <c r="B147" s="16">
        <v>6009.9</v>
      </c>
      <c r="C147" s="16">
        <v>6045.43</v>
      </c>
      <c r="D147" s="16">
        <v>6003.88</v>
      </c>
      <c r="E147" s="16">
        <v>6045.26</v>
      </c>
      <c r="F147" s="16">
        <v>6045.26</v>
      </c>
      <c r="G147" s="3">
        <v>4669500000</v>
      </c>
    </row>
    <row r="148" spans="1:7" x14ac:dyDescent="0.3">
      <c r="A148" s="1">
        <v>45819</v>
      </c>
      <c r="B148" s="16">
        <v>6049.38</v>
      </c>
      <c r="C148" s="16">
        <v>6059.4</v>
      </c>
      <c r="D148" s="16">
        <v>6002.32</v>
      </c>
      <c r="E148" s="16">
        <v>6022.24</v>
      </c>
      <c r="F148" s="16">
        <v>6022.24</v>
      </c>
      <c r="G148" s="3">
        <v>5111550000</v>
      </c>
    </row>
    <row r="149" spans="1:7" x14ac:dyDescent="0.3">
      <c r="A149" s="1">
        <v>45818</v>
      </c>
      <c r="B149" s="16">
        <v>6009.91</v>
      </c>
      <c r="C149" s="16">
        <v>6043.01</v>
      </c>
      <c r="D149" s="16">
        <v>6000.28</v>
      </c>
      <c r="E149" s="16">
        <v>6038.81</v>
      </c>
      <c r="F149" s="16">
        <v>6038.81</v>
      </c>
      <c r="G149" s="3">
        <v>4882880000</v>
      </c>
    </row>
    <row r="150" spans="1:7" x14ac:dyDescent="0.3">
      <c r="A150" s="1">
        <v>45817</v>
      </c>
      <c r="B150" s="16">
        <v>6004.63</v>
      </c>
      <c r="C150" s="16">
        <v>6021.31</v>
      </c>
      <c r="D150" s="16">
        <v>5994.18</v>
      </c>
      <c r="E150" s="16">
        <v>6005.88</v>
      </c>
      <c r="F150" s="16">
        <v>6005.88</v>
      </c>
      <c r="G150" s="3">
        <v>4642360000</v>
      </c>
    </row>
    <row r="151" spans="1:7" x14ac:dyDescent="0.3">
      <c r="A151" s="1">
        <v>45814</v>
      </c>
      <c r="B151" s="16">
        <v>5987.06</v>
      </c>
      <c r="C151" s="16">
        <v>6016.87</v>
      </c>
      <c r="D151" s="16">
        <v>5978.63</v>
      </c>
      <c r="E151" s="16">
        <v>6000.36</v>
      </c>
      <c r="F151" s="16">
        <v>6000.36</v>
      </c>
      <c r="G151" s="3">
        <v>4355710000</v>
      </c>
    </row>
    <row r="152" spans="1:7" x14ac:dyDescent="0.3">
      <c r="A152" s="1">
        <v>45813</v>
      </c>
      <c r="B152" s="16">
        <v>5985.67</v>
      </c>
      <c r="C152" s="16">
        <v>5999.7</v>
      </c>
      <c r="D152" s="16">
        <v>5921.2</v>
      </c>
      <c r="E152" s="16">
        <v>5939.3</v>
      </c>
      <c r="F152" s="16">
        <v>5939.3</v>
      </c>
      <c r="G152" s="3">
        <v>5091850000</v>
      </c>
    </row>
    <row r="153" spans="1:7" x14ac:dyDescent="0.3">
      <c r="A153" s="1">
        <v>45812</v>
      </c>
      <c r="B153" s="16">
        <v>5978.94</v>
      </c>
      <c r="C153" s="16">
        <v>5990.48</v>
      </c>
      <c r="D153" s="16">
        <v>5966.11</v>
      </c>
      <c r="E153" s="16">
        <v>5970.81</v>
      </c>
      <c r="F153" s="16">
        <v>5970.81</v>
      </c>
      <c r="G153" s="3">
        <v>4767050000</v>
      </c>
    </row>
    <row r="154" spans="1:7" x14ac:dyDescent="0.3">
      <c r="A154" s="1">
        <v>45811</v>
      </c>
      <c r="B154" s="16">
        <v>5938.56</v>
      </c>
      <c r="C154" s="16">
        <v>5981.35</v>
      </c>
      <c r="D154" s="16">
        <v>5929</v>
      </c>
      <c r="E154" s="16">
        <v>5970.37</v>
      </c>
      <c r="F154" s="16">
        <v>5970.37</v>
      </c>
      <c r="G154" s="3">
        <v>5026680000</v>
      </c>
    </row>
    <row r="155" spans="1:7" x14ac:dyDescent="0.3">
      <c r="A155" s="1">
        <v>45810</v>
      </c>
      <c r="B155" s="16">
        <v>5896.68</v>
      </c>
      <c r="C155" s="16">
        <v>5937.4</v>
      </c>
      <c r="D155" s="16">
        <v>5861.43</v>
      </c>
      <c r="E155" s="16">
        <v>5935.94</v>
      </c>
      <c r="F155" s="16">
        <v>5935.94</v>
      </c>
      <c r="G155" s="3">
        <v>4832240000</v>
      </c>
    </row>
    <row r="156" spans="1:7" x14ac:dyDescent="0.3">
      <c r="A156" s="1">
        <v>45807</v>
      </c>
      <c r="B156" s="16">
        <v>5903.67</v>
      </c>
      <c r="C156" s="16">
        <v>5922.14</v>
      </c>
      <c r="D156" s="16">
        <v>5843.66</v>
      </c>
      <c r="E156" s="16">
        <v>5911.69</v>
      </c>
      <c r="F156" s="16">
        <v>5911.69</v>
      </c>
      <c r="G156" s="3">
        <v>6378540000</v>
      </c>
    </row>
    <row r="157" spans="1:7" x14ac:dyDescent="0.3">
      <c r="A157" s="1">
        <v>45806</v>
      </c>
      <c r="B157" s="16">
        <v>5939.96</v>
      </c>
      <c r="C157" s="16">
        <v>5943.13</v>
      </c>
      <c r="D157" s="16">
        <v>5873.8</v>
      </c>
      <c r="E157" s="16">
        <v>5912.17</v>
      </c>
      <c r="F157" s="16">
        <v>5912.17</v>
      </c>
      <c r="G157" s="3">
        <v>4569750000</v>
      </c>
    </row>
    <row r="158" spans="1:7" x14ac:dyDescent="0.3">
      <c r="A158" s="1">
        <v>45805</v>
      </c>
      <c r="B158" s="16">
        <v>5925.54</v>
      </c>
      <c r="C158" s="16">
        <v>5939.92</v>
      </c>
      <c r="D158" s="16">
        <v>5881.88</v>
      </c>
      <c r="E158" s="16">
        <v>5888.55</v>
      </c>
      <c r="F158" s="16">
        <v>5888.55</v>
      </c>
      <c r="G158" s="3">
        <v>4665050000</v>
      </c>
    </row>
    <row r="159" spans="1:7" x14ac:dyDescent="0.3">
      <c r="A159" s="1">
        <v>45804</v>
      </c>
      <c r="B159" s="16">
        <v>5854.07</v>
      </c>
      <c r="C159" s="16">
        <v>5924.33</v>
      </c>
      <c r="D159" s="16">
        <v>5854.07</v>
      </c>
      <c r="E159" s="16">
        <v>5921.54</v>
      </c>
      <c r="F159" s="16">
        <v>5921.54</v>
      </c>
      <c r="G159" s="3">
        <v>5366380000</v>
      </c>
    </row>
    <row r="160" spans="1:7" x14ac:dyDescent="0.3">
      <c r="A160" s="1">
        <v>45800</v>
      </c>
      <c r="B160" s="16">
        <v>5781.89</v>
      </c>
      <c r="C160" s="16">
        <v>5829.51</v>
      </c>
      <c r="D160" s="16">
        <v>5767.41</v>
      </c>
      <c r="E160" s="16">
        <v>5802.82</v>
      </c>
      <c r="F160" s="16">
        <v>5802.82</v>
      </c>
      <c r="G160" s="3">
        <v>4662820000</v>
      </c>
    </row>
    <row r="161" spans="1:7" x14ac:dyDescent="0.3">
      <c r="A161" s="1">
        <v>45799</v>
      </c>
      <c r="B161" s="16">
        <v>5841.26</v>
      </c>
      <c r="C161" s="16">
        <v>5878.08</v>
      </c>
      <c r="D161" s="16">
        <v>5825.82</v>
      </c>
      <c r="E161" s="16">
        <v>5842.01</v>
      </c>
      <c r="F161" s="16">
        <v>5842.01</v>
      </c>
      <c r="G161" s="3">
        <v>5157050000</v>
      </c>
    </row>
    <row r="162" spans="1:7" x14ac:dyDescent="0.3">
      <c r="A162" s="1">
        <v>45798</v>
      </c>
      <c r="B162" s="16">
        <v>5910.18</v>
      </c>
      <c r="C162" s="16">
        <v>5938.37</v>
      </c>
      <c r="D162" s="16">
        <v>5830.91</v>
      </c>
      <c r="E162" s="16">
        <v>5844.61</v>
      </c>
      <c r="F162" s="16">
        <v>5844.61</v>
      </c>
      <c r="G162" s="3">
        <v>5254250000</v>
      </c>
    </row>
    <row r="163" spans="1:7" x14ac:dyDescent="0.3">
      <c r="A163" s="1">
        <v>45797</v>
      </c>
      <c r="B163" s="16">
        <v>5944.66</v>
      </c>
      <c r="C163" s="16">
        <v>5953.06</v>
      </c>
      <c r="D163" s="16">
        <v>5909.26</v>
      </c>
      <c r="E163" s="16">
        <v>5940.46</v>
      </c>
      <c r="F163" s="16">
        <v>5940.46</v>
      </c>
      <c r="G163" s="3">
        <v>4416850000</v>
      </c>
    </row>
    <row r="164" spans="1:7" x14ac:dyDescent="0.3">
      <c r="A164" s="1">
        <v>45796</v>
      </c>
      <c r="B164" s="16">
        <v>5902.88</v>
      </c>
      <c r="C164" s="16">
        <v>5968.61</v>
      </c>
      <c r="D164" s="16">
        <v>5895.69</v>
      </c>
      <c r="E164" s="16">
        <v>5963.6</v>
      </c>
      <c r="F164" s="16">
        <v>5963.6</v>
      </c>
      <c r="G164" s="3">
        <v>4144010000</v>
      </c>
    </row>
    <row r="165" spans="1:7" x14ac:dyDescent="0.3">
      <c r="A165" s="1">
        <v>45793</v>
      </c>
      <c r="B165" s="16">
        <v>5929.09</v>
      </c>
      <c r="C165" s="16">
        <v>5958.62</v>
      </c>
      <c r="D165" s="16">
        <v>5907.36</v>
      </c>
      <c r="E165" s="16">
        <v>5958.38</v>
      </c>
      <c r="F165" s="16">
        <v>5958.38</v>
      </c>
      <c r="G165" s="3">
        <v>4850850000</v>
      </c>
    </row>
    <row r="166" spans="1:7" x14ac:dyDescent="0.3">
      <c r="A166" s="1">
        <v>45792</v>
      </c>
      <c r="B166" s="16">
        <v>5869.82</v>
      </c>
      <c r="C166" s="16">
        <v>5924.21</v>
      </c>
      <c r="D166" s="16">
        <v>5865.16</v>
      </c>
      <c r="E166" s="16">
        <v>5916.93</v>
      </c>
      <c r="F166" s="16">
        <v>5916.93</v>
      </c>
      <c r="G166" s="3">
        <v>4991290000</v>
      </c>
    </row>
    <row r="167" spans="1:7" x14ac:dyDescent="0.3">
      <c r="A167" s="1">
        <v>45791</v>
      </c>
      <c r="B167" s="16">
        <v>5896.74</v>
      </c>
      <c r="C167" s="16">
        <v>5906.55</v>
      </c>
      <c r="D167" s="16">
        <v>5872.11</v>
      </c>
      <c r="E167" s="16">
        <v>5892.58</v>
      </c>
      <c r="F167" s="16">
        <v>5892.58</v>
      </c>
      <c r="G167" s="3">
        <v>5233450000</v>
      </c>
    </row>
    <row r="168" spans="1:7" x14ac:dyDescent="0.3">
      <c r="A168" s="1">
        <v>45790</v>
      </c>
      <c r="B168" s="16">
        <v>5854.15</v>
      </c>
      <c r="C168" s="16">
        <v>5906.64</v>
      </c>
      <c r="D168" s="16">
        <v>5845.02</v>
      </c>
      <c r="E168" s="16">
        <v>5886.55</v>
      </c>
      <c r="F168" s="16">
        <v>5886.55</v>
      </c>
      <c r="G168" s="3">
        <v>5516290000</v>
      </c>
    </row>
    <row r="169" spans="1:7" x14ac:dyDescent="0.3">
      <c r="A169" s="1">
        <v>45789</v>
      </c>
      <c r="B169" s="16">
        <v>5807.2</v>
      </c>
      <c r="C169" s="16">
        <v>5845.37</v>
      </c>
      <c r="D169" s="16">
        <v>5786.08</v>
      </c>
      <c r="E169" s="16">
        <v>5844.19</v>
      </c>
      <c r="F169" s="16">
        <v>5844.19</v>
      </c>
      <c r="G169" s="3">
        <v>6014580000</v>
      </c>
    </row>
    <row r="170" spans="1:7" x14ac:dyDescent="0.3">
      <c r="A170" s="1">
        <v>45786</v>
      </c>
      <c r="B170" s="16">
        <v>5679.65</v>
      </c>
      <c r="C170" s="16">
        <v>5691.69</v>
      </c>
      <c r="D170" s="16">
        <v>5644.15</v>
      </c>
      <c r="E170" s="16">
        <v>5659.91</v>
      </c>
      <c r="F170" s="16">
        <v>5659.91</v>
      </c>
      <c r="G170" s="3">
        <v>4645090000</v>
      </c>
    </row>
    <row r="171" spans="1:7" x14ac:dyDescent="0.3">
      <c r="A171" s="1">
        <v>45785</v>
      </c>
      <c r="B171" s="16">
        <v>5663.6</v>
      </c>
      <c r="C171" s="16">
        <v>5720.1</v>
      </c>
      <c r="D171" s="16">
        <v>5635.38</v>
      </c>
      <c r="E171" s="16">
        <v>5663.94</v>
      </c>
      <c r="F171" s="16">
        <v>5663.94</v>
      </c>
      <c r="G171" s="3">
        <v>5627400000</v>
      </c>
    </row>
    <row r="172" spans="1:7" x14ac:dyDescent="0.3">
      <c r="A172" s="1">
        <v>45784</v>
      </c>
      <c r="B172" s="16">
        <v>5614.18</v>
      </c>
      <c r="C172" s="16">
        <v>5654.73</v>
      </c>
      <c r="D172" s="16">
        <v>5578.64</v>
      </c>
      <c r="E172" s="16">
        <v>5631.28</v>
      </c>
      <c r="F172" s="16">
        <v>5631.28</v>
      </c>
      <c r="G172" s="3">
        <v>4987440000</v>
      </c>
    </row>
    <row r="173" spans="1:7" x14ac:dyDescent="0.3">
      <c r="A173" s="1">
        <v>45783</v>
      </c>
      <c r="B173" s="16">
        <v>5605.87</v>
      </c>
      <c r="C173" s="16">
        <v>5649.58</v>
      </c>
      <c r="D173" s="16">
        <v>5586.04</v>
      </c>
      <c r="E173" s="16">
        <v>5606.91</v>
      </c>
      <c r="F173" s="16">
        <v>5606.91</v>
      </c>
      <c r="G173" s="3">
        <v>4717260000</v>
      </c>
    </row>
    <row r="174" spans="1:7" x14ac:dyDescent="0.3">
      <c r="A174" s="1">
        <v>45782</v>
      </c>
      <c r="B174" s="16">
        <v>5655.32</v>
      </c>
      <c r="C174" s="16">
        <v>5683.38</v>
      </c>
      <c r="D174" s="16">
        <v>5634.48</v>
      </c>
      <c r="E174" s="16">
        <v>5650.38</v>
      </c>
      <c r="F174" s="16">
        <v>5650.38</v>
      </c>
      <c r="G174" s="3">
        <v>4358260000</v>
      </c>
    </row>
    <row r="175" spans="1:7" x14ac:dyDescent="0.3">
      <c r="A175" s="1">
        <v>45779</v>
      </c>
      <c r="B175" s="16">
        <v>5645.88</v>
      </c>
      <c r="C175" s="16">
        <v>5700.7</v>
      </c>
      <c r="D175" s="16">
        <v>5642.28</v>
      </c>
      <c r="E175" s="16">
        <v>5686.67</v>
      </c>
      <c r="F175" s="16">
        <v>5686.67</v>
      </c>
      <c r="G175" s="3">
        <v>4854380000</v>
      </c>
    </row>
    <row r="176" spans="1:7" x14ac:dyDescent="0.3">
      <c r="A176" s="1">
        <v>45778</v>
      </c>
      <c r="B176" s="16">
        <v>5625.14</v>
      </c>
      <c r="C176" s="16">
        <v>5658.91</v>
      </c>
      <c r="D176" s="16">
        <v>5597.35</v>
      </c>
      <c r="E176" s="16">
        <v>5604.14</v>
      </c>
      <c r="F176" s="16">
        <v>5604.14</v>
      </c>
      <c r="G176" s="3">
        <v>4935270000</v>
      </c>
    </row>
    <row r="177" spans="1:7" x14ac:dyDescent="0.3">
      <c r="A177" s="1">
        <v>45777</v>
      </c>
      <c r="B177" s="16">
        <v>5499.44</v>
      </c>
      <c r="C177" s="16">
        <v>5581.84</v>
      </c>
      <c r="D177" s="16">
        <v>5433.24</v>
      </c>
      <c r="E177" s="16">
        <v>5569.06</v>
      </c>
      <c r="F177" s="16">
        <v>5569.06</v>
      </c>
      <c r="G177" s="3">
        <v>5449490000</v>
      </c>
    </row>
    <row r="178" spans="1:7" x14ac:dyDescent="0.3">
      <c r="A178" s="1">
        <v>45776</v>
      </c>
      <c r="B178" s="16">
        <v>5508.87</v>
      </c>
      <c r="C178" s="16">
        <v>5571.95</v>
      </c>
      <c r="D178" s="16">
        <v>5505.7</v>
      </c>
      <c r="E178" s="16">
        <v>5560.83</v>
      </c>
      <c r="F178" s="16">
        <v>5560.83</v>
      </c>
      <c r="G178" s="3">
        <v>4747150000</v>
      </c>
    </row>
    <row r="179" spans="1:7" x14ac:dyDescent="0.3">
      <c r="A179" s="1">
        <v>45775</v>
      </c>
      <c r="B179" s="16">
        <v>5529.22</v>
      </c>
      <c r="C179" s="16">
        <v>5553.66</v>
      </c>
      <c r="D179" s="16">
        <v>5468.64</v>
      </c>
      <c r="E179" s="16">
        <v>5528.75</v>
      </c>
      <c r="F179" s="16">
        <v>5528.75</v>
      </c>
      <c r="G179" s="3">
        <v>4257880000</v>
      </c>
    </row>
    <row r="180" spans="1:7" x14ac:dyDescent="0.3">
      <c r="A180" s="1">
        <v>45772</v>
      </c>
      <c r="B180" s="16">
        <v>5489.73</v>
      </c>
      <c r="C180" s="16">
        <v>5528.11</v>
      </c>
      <c r="D180" s="16">
        <v>5455.86</v>
      </c>
      <c r="E180" s="16">
        <v>5525.21</v>
      </c>
      <c r="F180" s="16">
        <v>5525.21</v>
      </c>
      <c r="G180" s="3">
        <v>4236580000</v>
      </c>
    </row>
    <row r="181" spans="1:7" x14ac:dyDescent="0.3">
      <c r="A181" s="1">
        <v>45771</v>
      </c>
      <c r="B181" s="16">
        <v>5381.38</v>
      </c>
      <c r="C181" s="16">
        <v>5489.4</v>
      </c>
      <c r="D181" s="16">
        <v>5371.96</v>
      </c>
      <c r="E181" s="16">
        <v>5484.77</v>
      </c>
      <c r="F181" s="16">
        <v>5484.77</v>
      </c>
      <c r="G181" s="3">
        <v>4697710000</v>
      </c>
    </row>
    <row r="182" spans="1:7" x14ac:dyDescent="0.3">
      <c r="A182" s="1">
        <v>45770</v>
      </c>
      <c r="B182" s="16">
        <v>5395.92</v>
      </c>
      <c r="C182" s="16">
        <v>5469.69</v>
      </c>
      <c r="D182" s="16">
        <v>5356.17</v>
      </c>
      <c r="E182" s="16">
        <v>5375.86</v>
      </c>
      <c r="F182" s="16">
        <v>5375.86</v>
      </c>
      <c r="G182" s="3">
        <v>5371390000</v>
      </c>
    </row>
    <row r="183" spans="1:7" x14ac:dyDescent="0.3">
      <c r="A183" s="1">
        <v>45769</v>
      </c>
      <c r="B183" s="16">
        <v>5207.67</v>
      </c>
      <c r="C183" s="16">
        <v>5309.61</v>
      </c>
      <c r="D183" s="16">
        <v>5207.67</v>
      </c>
      <c r="E183" s="16">
        <v>5287.76</v>
      </c>
      <c r="F183" s="16">
        <v>5287.76</v>
      </c>
      <c r="G183" s="3">
        <v>4666950000</v>
      </c>
    </row>
    <row r="184" spans="1:7" x14ac:dyDescent="0.3">
      <c r="A184" s="1">
        <v>45768</v>
      </c>
      <c r="B184" s="16">
        <v>5232.9399999999996</v>
      </c>
      <c r="C184" s="16">
        <v>5232.9399999999996</v>
      </c>
      <c r="D184" s="16">
        <v>5101.63</v>
      </c>
      <c r="E184" s="16">
        <v>5158.2</v>
      </c>
      <c r="F184" s="16">
        <v>5158.2</v>
      </c>
      <c r="G184" s="3">
        <v>4226340000</v>
      </c>
    </row>
    <row r="185" spans="1:7" x14ac:dyDescent="0.3">
      <c r="A185" s="1">
        <v>45764</v>
      </c>
      <c r="B185" s="16">
        <v>5305.45</v>
      </c>
      <c r="C185" s="16">
        <v>5328.31</v>
      </c>
      <c r="D185" s="16">
        <v>5255.58</v>
      </c>
      <c r="E185" s="16">
        <v>5282.7</v>
      </c>
      <c r="F185" s="16">
        <v>5282.7</v>
      </c>
      <c r="G185" s="3">
        <v>4714880000</v>
      </c>
    </row>
    <row r="186" spans="1:7" x14ac:dyDescent="0.3">
      <c r="A186" s="1">
        <v>45763</v>
      </c>
      <c r="B186" s="16">
        <v>5335.75</v>
      </c>
      <c r="C186" s="16">
        <v>5367.24</v>
      </c>
      <c r="D186" s="16">
        <v>5220.79</v>
      </c>
      <c r="E186" s="16">
        <v>5275.7</v>
      </c>
      <c r="F186" s="16">
        <v>5275.7</v>
      </c>
      <c r="G186" s="3">
        <v>4607050000</v>
      </c>
    </row>
    <row r="187" spans="1:7" x14ac:dyDescent="0.3">
      <c r="A187" s="1">
        <v>45762</v>
      </c>
      <c r="B187" s="16">
        <v>5411.99</v>
      </c>
      <c r="C187" s="16">
        <v>5450.41</v>
      </c>
      <c r="D187" s="16">
        <v>5386.44</v>
      </c>
      <c r="E187" s="16">
        <v>5396.63</v>
      </c>
      <c r="F187" s="16">
        <v>5396.63</v>
      </c>
      <c r="G187" s="3">
        <v>4317110000</v>
      </c>
    </row>
    <row r="188" spans="1:7" x14ac:dyDescent="0.3">
      <c r="A188" s="1">
        <v>45761</v>
      </c>
      <c r="B188" s="16">
        <v>5441.96</v>
      </c>
      <c r="C188" s="16">
        <v>5459.46</v>
      </c>
      <c r="D188" s="16">
        <v>5358.02</v>
      </c>
      <c r="E188" s="16">
        <v>5405.97</v>
      </c>
      <c r="F188" s="16">
        <v>5405.97</v>
      </c>
      <c r="G188" s="3">
        <v>5031440000</v>
      </c>
    </row>
    <row r="189" spans="1:7" x14ac:dyDescent="0.3">
      <c r="A189" s="1">
        <v>45758</v>
      </c>
      <c r="B189" s="16">
        <v>5255.56</v>
      </c>
      <c r="C189" s="16">
        <v>5381.46</v>
      </c>
      <c r="D189" s="16">
        <v>5220.7700000000004</v>
      </c>
      <c r="E189" s="16">
        <v>5363.36</v>
      </c>
      <c r="F189" s="16">
        <v>5363.36</v>
      </c>
      <c r="G189" s="3">
        <v>5602550000</v>
      </c>
    </row>
    <row r="190" spans="1:7" x14ac:dyDescent="0.3">
      <c r="A190" s="1">
        <v>45757</v>
      </c>
      <c r="B190" s="16">
        <v>5353.15</v>
      </c>
      <c r="C190" s="16">
        <v>5353.15</v>
      </c>
      <c r="D190" s="16">
        <v>5115.2700000000004</v>
      </c>
      <c r="E190" s="16">
        <v>5268.05</v>
      </c>
      <c r="F190" s="16">
        <v>5268.05</v>
      </c>
      <c r="G190" s="3">
        <v>6677140000</v>
      </c>
    </row>
    <row r="191" spans="1:7" x14ac:dyDescent="0.3">
      <c r="A191" s="1">
        <v>45756</v>
      </c>
      <c r="B191" s="16">
        <v>4965.28</v>
      </c>
      <c r="C191" s="16">
        <v>5481.34</v>
      </c>
      <c r="D191" s="16">
        <v>4948.43</v>
      </c>
      <c r="E191" s="16">
        <v>5456.9</v>
      </c>
      <c r="F191" s="16">
        <v>5456.9</v>
      </c>
      <c r="G191" s="3">
        <v>9489600000</v>
      </c>
    </row>
    <row r="192" spans="1:7" x14ac:dyDescent="0.3">
      <c r="A192" s="1">
        <v>45755</v>
      </c>
      <c r="B192" s="16">
        <v>5193.57</v>
      </c>
      <c r="C192" s="16">
        <v>5267.47</v>
      </c>
      <c r="D192" s="16">
        <v>4910.42</v>
      </c>
      <c r="E192" s="16">
        <v>4982.7700000000004</v>
      </c>
      <c r="F192" s="16">
        <v>4982.7700000000004</v>
      </c>
      <c r="G192" s="3">
        <v>7408140000</v>
      </c>
    </row>
    <row r="193" spans="1:7" x14ac:dyDescent="0.3">
      <c r="A193" s="1">
        <v>45754</v>
      </c>
      <c r="B193" s="16">
        <v>4953.79</v>
      </c>
      <c r="C193" s="16">
        <v>5246.57</v>
      </c>
      <c r="D193" s="16">
        <v>4835.04</v>
      </c>
      <c r="E193" s="16">
        <v>5062.25</v>
      </c>
      <c r="F193" s="16">
        <v>5062.25</v>
      </c>
      <c r="G193" s="3">
        <v>8691980000</v>
      </c>
    </row>
    <row r="194" spans="1:7" x14ac:dyDescent="0.3">
      <c r="A194" s="1">
        <v>45751</v>
      </c>
      <c r="B194" s="16">
        <v>5292.14</v>
      </c>
      <c r="C194" s="16">
        <v>5292.14</v>
      </c>
      <c r="D194" s="16">
        <v>5069.8999999999996</v>
      </c>
      <c r="E194" s="16">
        <v>5074.08</v>
      </c>
      <c r="F194" s="16">
        <v>5074.08</v>
      </c>
      <c r="G194" s="3">
        <v>8853500000</v>
      </c>
    </row>
    <row r="195" spans="1:7" x14ac:dyDescent="0.3">
      <c r="A195" s="1">
        <v>45750</v>
      </c>
      <c r="B195" s="16">
        <v>5492.74</v>
      </c>
      <c r="C195" s="16">
        <v>5499.53</v>
      </c>
      <c r="D195" s="16">
        <v>5390.83</v>
      </c>
      <c r="E195" s="16">
        <v>5396.52</v>
      </c>
      <c r="F195" s="16">
        <v>5396.52</v>
      </c>
      <c r="G195" s="3">
        <v>7210470000</v>
      </c>
    </row>
    <row r="196" spans="1:7" x14ac:dyDescent="0.3">
      <c r="A196" s="1">
        <v>45749</v>
      </c>
      <c r="B196" s="16">
        <v>5580.76</v>
      </c>
      <c r="C196" s="16">
        <v>5695.31</v>
      </c>
      <c r="D196" s="16">
        <v>5571.48</v>
      </c>
      <c r="E196" s="16">
        <v>5670.97</v>
      </c>
      <c r="F196" s="16">
        <v>5670.97</v>
      </c>
      <c r="G196" s="3">
        <v>4243830000</v>
      </c>
    </row>
    <row r="197" spans="1:7" x14ac:dyDescent="0.3">
      <c r="A197" s="1">
        <v>45748</v>
      </c>
      <c r="B197" s="16">
        <v>5597.53</v>
      </c>
      <c r="C197" s="16">
        <v>5650.57</v>
      </c>
      <c r="D197" s="16">
        <v>5558.52</v>
      </c>
      <c r="E197" s="16">
        <v>5633.07</v>
      </c>
      <c r="F197" s="16">
        <v>5633.07</v>
      </c>
      <c r="G197" s="3">
        <v>4434500000</v>
      </c>
    </row>
    <row r="198" spans="1:7" x14ac:dyDescent="0.3">
      <c r="A198" s="1">
        <v>45747</v>
      </c>
      <c r="B198" s="16">
        <v>5527.91</v>
      </c>
      <c r="C198" s="16">
        <v>5627.56</v>
      </c>
      <c r="D198" s="16">
        <v>5488.73</v>
      </c>
      <c r="E198" s="16">
        <v>5611.85</v>
      </c>
      <c r="F198" s="16">
        <v>5611.85</v>
      </c>
      <c r="G198" s="3">
        <v>5257250000</v>
      </c>
    </row>
    <row r="199" spans="1:7" x14ac:dyDescent="0.3">
      <c r="A199" s="1">
        <v>45744</v>
      </c>
      <c r="B199" s="16">
        <v>5679.2</v>
      </c>
      <c r="C199" s="16">
        <v>5685.89</v>
      </c>
      <c r="D199" s="16">
        <v>5572.42</v>
      </c>
      <c r="E199" s="16">
        <v>5580.94</v>
      </c>
      <c r="F199" s="16">
        <v>5580.94</v>
      </c>
      <c r="G199" s="3">
        <v>4513330000</v>
      </c>
    </row>
    <row r="200" spans="1:7" x14ac:dyDescent="0.3">
      <c r="A200" s="1">
        <v>45743</v>
      </c>
      <c r="B200" s="16">
        <v>5695.64</v>
      </c>
      <c r="C200" s="16">
        <v>5732.28</v>
      </c>
      <c r="D200" s="16">
        <v>5670.94</v>
      </c>
      <c r="E200" s="16">
        <v>5693.31</v>
      </c>
      <c r="F200" s="16">
        <v>5693.31</v>
      </c>
      <c r="G200" s="3">
        <v>4403460000</v>
      </c>
    </row>
    <row r="201" spans="1:7" x14ac:dyDescent="0.3">
      <c r="A201" s="1">
        <v>45742</v>
      </c>
      <c r="B201" s="16">
        <v>5771.66</v>
      </c>
      <c r="C201" s="16">
        <v>5783.62</v>
      </c>
      <c r="D201" s="16">
        <v>5694.41</v>
      </c>
      <c r="E201" s="16">
        <v>5712.2</v>
      </c>
      <c r="F201" s="16">
        <v>5712.2</v>
      </c>
      <c r="G201" s="3">
        <v>4183140000</v>
      </c>
    </row>
    <row r="202" spans="1:7" x14ac:dyDescent="0.3">
      <c r="A202" s="1">
        <v>45741</v>
      </c>
      <c r="B202" s="16">
        <v>5775.96</v>
      </c>
      <c r="C202" s="16">
        <v>5786.95</v>
      </c>
      <c r="D202" s="16">
        <v>5760.42</v>
      </c>
      <c r="E202" s="16">
        <v>5776.65</v>
      </c>
      <c r="F202" s="16">
        <v>5776.65</v>
      </c>
      <c r="G202" s="3">
        <v>4467340000</v>
      </c>
    </row>
    <row r="203" spans="1:7" x14ac:dyDescent="0.3">
      <c r="A203" s="1">
        <v>45740</v>
      </c>
      <c r="B203" s="16">
        <v>5718.08</v>
      </c>
      <c r="C203" s="16">
        <v>5775.14</v>
      </c>
      <c r="D203" s="16">
        <v>5718.08</v>
      </c>
      <c r="E203" s="16">
        <v>5767.57</v>
      </c>
      <c r="F203" s="16">
        <v>5767.57</v>
      </c>
      <c r="G203" s="3">
        <v>4517990000</v>
      </c>
    </row>
    <row r="204" spans="1:7" x14ac:dyDescent="0.3">
      <c r="A204" s="1">
        <v>45737</v>
      </c>
      <c r="B204" s="16">
        <v>5630.73</v>
      </c>
      <c r="C204" s="16">
        <v>5670.84</v>
      </c>
      <c r="D204" s="16">
        <v>5603.1</v>
      </c>
      <c r="E204" s="16">
        <v>5667.56</v>
      </c>
      <c r="F204" s="16">
        <v>5667.56</v>
      </c>
      <c r="G204" s="3">
        <v>9367460000</v>
      </c>
    </row>
    <row r="205" spans="1:7" x14ac:dyDescent="0.3">
      <c r="A205" s="1">
        <v>45736</v>
      </c>
      <c r="B205" s="16">
        <v>5646.92</v>
      </c>
      <c r="C205" s="16">
        <v>5711.15</v>
      </c>
      <c r="D205" s="16">
        <v>5632.33</v>
      </c>
      <c r="E205" s="16">
        <v>5662.89</v>
      </c>
      <c r="F205" s="16">
        <v>5662.89</v>
      </c>
      <c r="G205" s="3">
        <v>4678420000</v>
      </c>
    </row>
    <row r="206" spans="1:7" x14ac:dyDescent="0.3">
      <c r="A206" s="1">
        <v>45735</v>
      </c>
      <c r="B206" s="16">
        <v>5632.37</v>
      </c>
      <c r="C206" s="16">
        <v>5715.33</v>
      </c>
      <c r="D206" s="16">
        <v>5622.2</v>
      </c>
      <c r="E206" s="16">
        <v>5675.29</v>
      </c>
      <c r="F206" s="16">
        <v>5675.29</v>
      </c>
      <c r="G206" s="3">
        <v>4660090000</v>
      </c>
    </row>
    <row r="207" spans="1:7" x14ac:dyDescent="0.3">
      <c r="A207" s="1">
        <v>45734</v>
      </c>
      <c r="B207" s="16">
        <v>5654.53</v>
      </c>
      <c r="C207" s="16">
        <v>5654.53</v>
      </c>
      <c r="D207" s="16">
        <v>5597.76</v>
      </c>
      <c r="E207" s="16">
        <v>5614.66</v>
      </c>
      <c r="F207" s="16">
        <v>5614.66</v>
      </c>
      <c r="G207" s="3">
        <v>4666270000</v>
      </c>
    </row>
    <row r="208" spans="1:7" x14ac:dyDescent="0.3">
      <c r="A208" s="1">
        <v>45733</v>
      </c>
      <c r="B208" s="16">
        <v>5635.6</v>
      </c>
      <c r="C208" s="16">
        <v>5703.52</v>
      </c>
      <c r="D208" s="16">
        <v>5631.12</v>
      </c>
      <c r="E208" s="16">
        <v>5675.12</v>
      </c>
      <c r="F208" s="16">
        <v>5675.12</v>
      </c>
      <c r="G208" s="3">
        <v>5031770000</v>
      </c>
    </row>
    <row r="209" spans="1:7" x14ac:dyDescent="0.3">
      <c r="A209" s="1">
        <v>45730</v>
      </c>
      <c r="B209" s="16">
        <v>5563.85</v>
      </c>
      <c r="C209" s="16">
        <v>5645.27</v>
      </c>
      <c r="D209" s="16">
        <v>5563.85</v>
      </c>
      <c r="E209" s="16">
        <v>5638.94</v>
      </c>
      <c r="F209" s="16">
        <v>5638.94</v>
      </c>
      <c r="G209" s="3">
        <v>4863180000</v>
      </c>
    </row>
    <row r="210" spans="1:7" x14ac:dyDescent="0.3">
      <c r="A210" s="1">
        <v>45729</v>
      </c>
      <c r="B210" s="16">
        <v>5594.45</v>
      </c>
      <c r="C210" s="16">
        <v>5597.78</v>
      </c>
      <c r="D210" s="16">
        <v>5504.65</v>
      </c>
      <c r="E210" s="16">
        <v>5521.52</v>
      </c>
      <c r="F210" s="16">
        <v>5521.52</v>
      </c>
      <c r="G210" s="3">
        <v>5018980000</v>
      </c>
    </row>
    <row r="211" spans="1:7" x14ac:dyDescent="0.3">
      <c r="A211" s="1">
        <v>45728</v>
      </c>
      <c r="B211" s="16">
        <v>5624.84</v>
      </c>
      <c r="C211" s="16">
        <v>5642.19</v>
      </c>
      <c r="D211" s="16">
        <v>5546.09</v>
      </c>
      <c r="E211" s="16">
        <v>5599.3</v>
      </c>
      <c r="F211" s="16">
        <v>5599.3</v>
      </c>
      <c r="G211" s="3">
        <v>5219830000</v>
      </c>
    </row>
    <row r="212" spans="1:7" x14ac:dyDescent="0.3">
      <c r="A212" s="1">
        <v>45727</v>
      </c>
      <c r="B212" s="16">
        <v>5603.65</v>
      </c>
      <c r="C212" s="16">
        <v>5636.3</v>
      </c>
      <c r="D212" s="16">
        <v>5528.41</v>
      </c>
      <c r="E212" s="16">
        <v>5572.07</v>
      </c>
      <c r="F212" s="16">
        <v>5572.07</v>
      </c>
      <c r="G212" s="3">
        <v>6221240000</v>
      </c>
    </row>
    <row r="213" spans="1:7" x14ac:dyDescent="0.3">
      <c r="A213" s="1">
        <v>45726</v>
      </c>
      <c r="B213" s="16">
        <v>5705.37</v>
      </c>
      <c r="C213" s="16">
        <v>5705.37</v>
      </c>
      <c r="D213" s="16">
        <v>5564.02</v>
      </c>
      <c r="E213" s="16">
        <v>5614.56</v>
      </c>
      <c r="F213" s="16">
        <v>5614.56</v>
      </c>
      <c r="G213" s="3">
        <v>6409370000</v>
      </c>
    </row>
    <row r="214" spans="1:7" x14ac:dyDescent="0.3">
      <c r="A214" s="1">
        <v>45723</v>
      </c>
      <c r="B214" s="16">
        <v>5726.01</v>
      </c>
      <c r="C214" s="16">
        <v>5783.01</v>
      </c>
      <c r="D214" s="16">
        <v>5666.29</v>
      </c>
      <c r="E214" s="16">
        <v>5770.2</v>
      </c>
      <c r="F214" s="16">
        <v>5770.2</v>
      </c>
      <c r="G214" s="3">
        <v>5705140000</v>
      </c>
    </row>
    <row r="215" spans="1:7" x14ac:dyDescent="0.3">
      <c r="A215" s="1">
        <v>45722</v>
      </c>
      <c r="B215" s="16">
        <v>5785.87</v>
      </c>
      <c r="C215" s="16">
        <v>5812.08</v>
      </c>
      <c r="D215" s="16">
        <v>5711.64</v>
      </c>
      <c r="E215" s="16">
        <v>5738.52</v>
      </c>
      <c r="F215" s="16">
        <v>5738.52</v>
      </c>
      <c r="G215" s="3">
        <v>5165080000</v>
      </c>
    </row>
    <row r="216" spans="1:7" x14ac:dyDescent="0.3">
      <c r="A216" s="1">
        <v>45721</v>
      </c>
      <c r="B216" s="16">
        <v>5781.36</v>
      </c>
      <c r="C216" s="16">
        <v>5860.59</v>
      </c>
      <c r="D216" s="16">
        <v>5742.35</v>
      </c>
      <c r="E216" s="16">
        <v>5842.63</v>
      </c>
      <c r="F216" s="16">
        <v>5842.63</v>
      </c>
      <c r="G216" s="3">
        <v>5285970000</v>
      </c>
    </row>
    <row r="217" spans="1:7" x14ac:dyDescent="0.3">
      <c r="A217" s="1">
        <v>45720</v>
      </c>
      <c r="B217" s="16">
        <v>5811.98</v>
      </c>
      <c r="C217" s="16">
        <v>5865.08</v>
      </c>
      <c r="D217" s="16">
        <v>5732.59</v>
      </c>
      <c r="E217" s="16">
        <v>5778.15</v>
      </c>
      <c r="F217" s="16">
        <v>5778.15</v>
      </c>
      <c r="G217" s="3">
        <v>6138110000</v>
      </c>
    </row>
    <row r="218" spans="1:7" x14ac:dyDescent="0.3">
      <c r="A218" s="1">
        <v>45719</v>
      </c>
      <c r="B218" s="16">
        <v>5968.33</v>
      </c>
      <c r="C218" s="16">
        <v>5986.09</v>
      </c>
      <c r="D218" s="16">
        <v>5810.91</v>
      </c>
      <c r="E218" s="16">
        <v>5849.72</v>
      </c>
      <c r="F218" s="16">
        <v>5849.72</v>
      </c>
      <c r="G218" s="3">
        <v>5613850000</v>
      </c>
    </row>
    <row r="219" spans="1:7" x14ac:dyDescent="0.3">
      <c r="A219" s="1">
        <v>45716</v>
      </c>
      <c r="B219" s="16">
        <v>5856.74</v>
      </c>
      <c r="C219" s="16">
        <v>5959.4</v>
      </c>
      <c r="D219" s="16">
        <v>5837.66</v>
      </c>
      <c r="E219" s="16">
        <v>5954.5</v>
      </c>
      <c r="F219" s="16">
        <v>5954.5</v>
      </c>
      <c r="G219" s="3">
        <v>6441140000</v>
      </c>
    </row>
    <row r="220" spans="1:7" x14ac:dyDescent="0.3">
      <c r="A220" s="1">
        <v>45715</v>
      </c>
      <c r="B220" s="16">
        <v>5981.88</v>
      </c>
      <c r="C220" s="16">
        <v>5993.69</v>
      </c>
      <c r="D220" s="16">
        <v>5858.78</v>
      </c>
      <c r="E220" s="16">
        <v>5861.57</v>
      </c>
      <c r="F220" s="16">
        <v>5861.57</v>
      </c>
      <c r="G220" s="3">
        <v>5057680000</v>
      </c>
    </row>
    <row r="221" spans="1:7" x14ac:dyDescent="0.3">
      <c r="A221" s="1">
        <v>45714</v>
      </c>
      <c r="B221" s="16">
        <v>5970.87</v>
      </c>
      <c r="C221" s="16">
        <v>6009.82</v>
      </c>
      <c r="D221" s="16">
        <v>5932.69</v>
      </c>
      <c r="E221" s="16">
        <v>5956.06</v>
      </c>
      <c r="F221" s="16">
        <v>5956.06</v>
      </c>
      <c r="G221" s="3">
        <v>4869580000</v>
      </c>
    </row>
    <row r="222" spans="1:7" x14ac:dyDescent="0.3">
      <c r="A222" s="1">
        <v>45713</v>
      </c>
      <c r="B222" s="16">
        <v>5982.73</v>
      </c>
      <c r="C222" s="16">
        <v>5992.65</v>
      </c>
      <c r="D222" s="16">
        <v>5908.49</v>
      </c>
      <c r="E222" s="16">
        <v>5955.25</v>
      </c>
      <c r="F222" s="16">
        <v>5955.25</v>
      </c>
      <c r="G222" s="3">
        <v>5374690000</v>
      </c>
    </row>
    <row r="223" spans="1:7" x14ac:dyDescent="0.3">
      <c r="A223" s="1">
        <v>45712</v>
      </c>
      <c r="B223" s="16">
        <v>6026.89</v>
      </c>
      <c r="C223" s="16">
        <v>6043.65</v>
      </c>
      <c r="D223" s="16">
        <v>5977.83</v>
      </c>
      <c r="E223" s="16">
        <v>5983.25</v>
      </c>
      <c r="F223" s="16">
        <v>5983.25</v>
      </c>
      <c r="G223" s="3">
        <v>4990120000</v>
      </c>
    </row>
    <row r="224" spans="1:7" x14ac:dyDescent="0.3">
      <c r="A224" s="1">
        <v>45709</v>
      </c>
      <c r="B224" s="16">
        <v>6114.1</v>
      </c>
      <c r="C224" s="16">
        <v>6114.82</v>
      </c>
      <c r="D224" s="16">
        <v>6008.56</v>
      </c>
      <c r="E224" s="16">
        <v>6013.13</v>
      </c>
      <c r="F224" s="16">
        <v>6013.13</v>
      </c>
      <c r="G224" s="3">
        <v>5434560000</v>
      </c>
    </row>
    <row r="225" spans="1:7" x14ac:dyDescent="0.3">
      <c r="A225" s="1">
        <v>45708</v>
      </c>
      <c r="B225" s="16">
        <v>6134.5</v>
      </c>
      <c r="C225" s="16">
        <v>6134.5</v>
      </c>
      <c r="D225" s="16">
        <v>6084.59</v>
      </c>
      <c r="E225" s="16">
        <v>6117.52</v>
      </c>
      <c r="F225" s="16">
        <v>6117.52</v>
      </c>
      <c r="G225" s="3">
        <v>4813690000</v>
      </c>
    </row>
    <row r="226" spans="1:7" x14ac:dyDescent="0.3">
      <c r="A226" s="1">
        <v>45707</v>
      </c>
      <c r="B226" s="16">
        <v>6117.76</v>
      </c>
      <c r="C226" s="16">
        <v>6147.43</v>
      </c>
      <c r="D226" s="16">
        <v>6111.15</v>
      </c>
      <c r="E226" s="16">
        <v>6144.15</v>
      </c>
      <c r="F226" s="16">
        <v>6144.15</v>
      </c>
      <c r="G226" s="3">
        <v>4562330000</v>
      </c>
    </row>
    <row r="227" spans="1:7" x14ac:dyDescent="0.3">
      <c r="A227" s="1">
        <v>45706</v>
      </c>
      <c r="B227" s="16">
        <v>6121.6</v>
      </c>
      <c r="C227" s="16">
        <v>6129.63</v>
      </c>
      <c r="D227" s="16">
        <v>6099.51</v>
      </c>
      <c r="E227" s="16">
        <v>6129.58</v>
      </c>
      <c r="F227" s="16">
        <v>6129.58</v>
      </c>
      <c r="G227" s="3">
        <v>4684980000</v>
      </c>
    </row>
    <row r="228" spans="1:7" x14ac:dyDescent="0.3">
      <c r="A228" s="1">
        <v>45702</v>
      </c>
      <c r="B228" s="16">
        <v>6115.52</v>
      </c>
      <c r="C228" s="16">
        <v>6127.47</v>
      </c>
      <c r="D228" s="16">
        <v>6107.62</v>
      </c>
      <c r="E228" s="16">
        <v>6114.63</v>
      </c>
      <c r="F228" s="16">
        <v>6114.63</v>
      </c>
      <c r="G228" s="3">
        <v>4335190000</v>
      </c>
    </row>
    <row r="229" spans="1:7" x14ac:dyDescent="0.3">
      <c r="A229" s="1">
        <v>45701</v>
      </c>
      <c r="B229" s="16">
        <v>6060.59</v>
      </c>
      <c r="C229" s="16">
        <v>6116.91</v>
      </c>
      <c r="D229" s="16">
        <v>6050.95</v>
      </c>
      <c r="E229" s="16">
        <v>6115.07</v>
      </c>
      <c r="F229" s="16">
        <v>6115.07</v>
      </c>
      <c r="G229" s="3">
        <v>4763800000</v>
      </c>
    </row>
    <row r="230" spans="1:7" x14ac:dyDescent="0.3">
      <c r="A230" s="1">
        <v>45700</v>
      </c>
      <c r="B230" s="16">
        <v>6025.08</v>
      </c>
      <c r="C230" s="16">
        <v>6063</v>
      </c>
      <c r="D230" s="16">
        <v>6003</v>
      </c>
      <c r="E230" s="16">
        <v>6051.97</v>
      </c>
      <c r="F230" s="16">
        <v>6051.97</v>
      </c>
      <c r="G230" s="3">
        <v>4627960000</v>
      </c>
    </row>
    <row r="231" spans="1:7" x14ac:dyDescent="0.3">
      <c r="A231" s="1">
        <v>45699</v>
      </c>
      <c r="B231" s="16">
        <v>6049.32</v>
      </c>
      <c r="C231" s="16">
        <v>6076.28</v>
      </c>
      <c r="D231" s="16">
        <v>6042.34</v>
      </c>
      <c r="E231" s="16">
        <v>6068.5</v>
      </c>
      <c r="F231" s="16">
        <v>6068.5</v>
      </c>
      <c r="G231" s="3">
        <v>4324880000</v>
      </c>
    </row>
    <row r="232" spans="1:7" x14ac:dyDescent="0.3">
      <c r="A232" s="1">
        <v>45698</v>
      </c>
      <c r="B232" s="16">
        <v>6046.4</v>
      </c>
      <c r="C232" s="16">
        <v>6073.38</v>
      </c>
      <c r="D232" s="16">
        <v>6044.84</v>
      </c>
      <c r="E232" s="16">
        <v>6066.44</v>
      </c>
      <c r="F232" s="16">
        <v>6066.44</v>
      </c>
      <c r="G232" s="3">
        <v>4458760000</v>
      </c>
    </row>
    <row r="233" spans="1:7" x14ac:dyDescent="0.3">
      <c r="A233" s="1">
        <v>45695</v>
      </c>
      <c r="B233" s="16">
        <v>6083.13</v>
      </c>
      <c r="C233" s="16">
        <v>6101.28</v>
      </c>
      <c r="D233" s="16">
        <v>6019.96</v>
      </c>
      <c r="E233" s="16">
        <v>6025.99</v>
      </c>
      <c r="F233" s="16">
        <v>6025.99</v>
      </c>
      <c r="G233" s="3">
        <v>4766900000</v>
      </c>
    </row>
    <row r="234" spans="1:7" x14ac:dyDescent="0.3">
      <c r="A234" s="1">
        <v>45694</v>
      </c>
      <c r="B234" s="16">
        <v>6072.22</v>
      </c>
      <c r="C234" s="16">
        <v>6084.03</v>
      </c>
      <c r="D234" s="16">
        <v>6046.83</v>
      </c>
      <c r="E234" s="16">
        <v>6083.57</v>
      </c>
      <c r="F234" s="16">
        <v>6083.57</v>
      </c>
      <c r="G234" s="3">
        <v>4847120000</v>
      </c>
    </row>
    <row r="235" spans="1:7" x14ac:dyDescent="0.3">
      <c r="A235" s="1">
        <v>45693</v>
      </c>
      <c r="B235" s="16">
        <v>6020.45</v>
      </c>
      <c r="C235" s="16">
        <v>6062.86</v>
      </c>
      <c r="D235" s="16">
        <v>6007.06</v>
      </c>
      <c r="E235" s="16">
        <v>6061.48</v>
      </c>
      <c r="F235" s="16">
        <v>6061.48</v>
      </c>
      <c r="G235" s="3">
        <v>4756250000</v>
      </c>
    </row>
    <row r="236" spans="1:7" x14ac:dyDescent="0.3">
      <c r="A236" s="1">
        <v>45692</v>
      </c>
      <c r="B236" s="16">
        <v>5998.14</v>
      </c>
      <c r="C236" s="16">
        <v>6042.48</v>
      </c>
      <c r="D236" s="16">
        <v>5990.87</v>
      </c>
      <c r="E236" s="16">
        <v>6037.88</v>
      </c>
      <c r="F236" s="16">
        <v>6037.88</v>
      </c>
      <c r="G236" s="3">
        <v>4410160000</v>
      </c>
    </row>
    <row r="237" spans="1:7" x14ac:dyDescent="0.3">
      <c r="A237" s="1">
        <v>45691</v>
      </c>
      <c r="B237" s="16">
        <v>5996.95</v>
      </c>
      <c r="C237" s="16">
        <v>6022.13</v>
      </c>
      <c r="D237" s="16">
        <v>5923.93</v>
      </c>
      <c r="E237" s="16">
        <v>5994.57</v>
      </c>
      <c r="F237" s="16">
        <v>5994.57</v>
      </c>
      <c r="G237" s="3">
        <v>4797210000</v>
      </c>
    </row>
    <row r="238" spans="1:7" x14ac:dyDescent="0.3">
      <c r="A238" s="1">
        <v>45688</v>
      </c>
      <c r="B238" s="16">
        <v>6096.79</v>
      </c>
      <c r="C238" s="16">
        <v>6120.91</v>
      </c>
      <c r="D238" s="16">
        <v>6030.93</v>
      </c>
      <c r="E238" s="16">
        <v>6040.53</v>
      </c>
      <c r="F238" s="16">
        <v>6040.53</v>
      </c>
      <c r="G238" s="3">
        <v>4843770000</v>
      </c>
    </row>
    <row r="239" spans="1:7" x14ac:dyDescent="0.3">
      <c r="A239" s="1">
        <v>45687</v>
      </c>
      <c r="B239" s="16">
        <v>6050.75</v>
      </c>
      <c r="C239" s="16">
        <v>6086.64</v>
      </c>
      <c r="D239" s="16">
        <v>6027.46</v>
      </c>
      <c r="E239" s="16">
        <v>6071.17</v>
      </c>
      <c r="F239" s="16">
        <v>6071.17</v>
      </c>
      <c r="G239" s="3">
        <v>4634620000</v>
      </c>
    </row>
    <row r="240" spans="1:7" x14ac:dyDescent="0.3">
      <c r="A240" s="1">
        <v>45686</v>
      </c>
      <c r="B240" s="16">
        <v>6057.7</v>
      </c>
      <c r="C240" s="16">
        <v>6062.83</v>
      </c>
      <c r="D240" s="16">
        <v>6012.96</v>
      </c>
      <c r="E240" s="16">
        <v>6039.31</v>
      </c>
      <c r="F240" s="16">
        <v>6039.31</v>
      </c>
      <c r="G240" s="3">
        <v>4115310000</v>
      </c>
    </row>
    <row r="241" spans="1:7" x14ac:dyDescent="0.3">
      <c r="A241" s="1">
        <v>45685</v>
      </c>
      <c r="B241" s="16">
        <v>6029.67</v>
      </c>
      <c r="C241" s="16">
        <v>6074.54</v>
      </c>
      <c r="D241" s="16">
        <v>5994.63</v>
      </c>
      <c r="E241" s="16">
        <v>6067.7</v>
      </c>
      <c r="F241" s="16">
        <v>6067.7</v>
      </c>
      <c r="G241" s="3">
        <v>4473640000</v>
      </c>
    </row>
    <row r="242" spans="1:7" x14ac:dyDescent="0.3">
      <c r="A242" s="1">
        <v>45684</v>
      </c>
      <c r="B242" s="16">
        <v>5969.04</v>
      </c>
      <c r="C242" s="16">
        <v>6017.17</v>
      </c>
      <c r="D242" s="16">
        <v>5962.92</v>
      </c>
      <c r="E242" s="16">
        <v>6012.28</v>
      </c>
      <c r="F242" s="16">
        <v>6012.28</v>
      </c>
      <c r="G242" s="3">
        <v>5198750000</v>
      </c>
    </row>
    <row r="243" spans="1:7" x14ac:dyDescent="0.3">
      <c r="A243" s="1">
        <v>45681</v>
      </c>
      <c r="B243" s="16">
        <v>6121.43</v>
      </c>
      <c r="C243" s="16">
        <v>6128.18</v>
      </c>
      <c r="D243" s="16">
        <v>6088.74</v>
      </c>
      <c r="E243" s="16">
        <v>6101.24</v>
      </c>
      <c r="F243" s="16">
        <v>6101.24</v>
      </c>
      <c r="G243" s="3">
        <v>4214250000</v>
      </c>
    </row>
    <row r="244" spans="1:7" x14ac:dyDescent="0.3">
      <c r="A244" s="1">
        <v>45680</v>
      </c>
      <c r="B244" s="16">
        <v>6076.32</v>
      </c>
      <c r="C244" s="16">
        <v>6118.73</v>
      </c>
      <c r="D244" s="16">
        <v>6074.67</v>
      </c>
      <c r="E244" s="16">
        <v>6118.71</v>
      </c>
      <c r="F244" s="16">
        <v>6118.71</v>
      </c>
      <c r="G244" s="3">
        <v>4432250000</v>
      </c>
    </row>
    <row r="245" spans="1:7" x14ac:dyDescent="0.3">
      <c r="A245" s="1">
        <v>45679</v>
      </c>
      <c r="B245" s="16">
        <v>6081.39</v>
      </c>
      <c r="C245" s="16">
        <v>6100.81</v>
      </c>
      <c r="D245" s="16">
        <v>6076.13</v>
      </c>
      <c r="E245" s="16">
        <v>6086.37</v>
      </c>
      <c r="F245" s="16">
        <v>6086.37</v>
      </c>
      <c r="G245" s="3">
        <v>4323040000</v>
      </c>
    </row>
    <row r="246" spans="1:7" x14ac:dyDescent="0.3">
      <c r="A246" s="1">
        <v>45678</v>
      </c>
      <c r="B246" s="16">
        <v>6014.12</v>
      </c>
      <c r="C246" s="16">
        <v>6051.51</v>
      </c>
      <c r="D246" s="16">
        <v>6006.88</v>
      </c>
      <c r="E246" s="16">
        <v>6049.24</v>
      </c>
      <c r="F246" s="16">
        <v>6049.24</v>
      </c>
      <c r="G246" s="3">
        <v>4702920000</v>
      </c>
    </row>
    <row r="247" spans="1:7" x14ac:dyDescent="0.3">
      <c r="A247" s="1">
        <v>45674</v>
      </c>
      <c r="B247" s="16">
        <v>5995.4</v>
      </c>
      <c r="C247" s="16">
        <v>6014.96</v>
      </c>
      <c r="D247" s="16">
        <v>5978.44</v>
      </c>
      <c r="E247" s="16">
        <v>5996.66</v>
      </c>
      <c r="F247" s="16">
        <v>5996.66</v>
      </c>
      <c r="G247" s="3">
        <v>4366830000</v>
      </c>
    </row>
    <row r="248" spans="1:7" x14ac:dyDescent="0.3">
      <c r="A248" s="1">
        <v>45673</v>
      </c>
      <c r="B248" s="16">
        <v>5963.61</v>
      </c>
      <c r="C248" s="16">
        <v>5964.69</v>
      </c>
      <c r="D248" s="16">
        <v>5930.72</v>
      </c>
      <c r="E248" s="16">
        <v>5937.34</v>
      </c>
      <c r="F248" s="16">
        <v>5937.34</v>
      </c>
      <c r="G248" s="3">
        <v>4285810000</v>
      </c>
    </row>
    <row r="249" spans="1:7" x14ac:dyDescent="0.3">
      <c r="A249" s="1">
        <v>45672</v>
      </c>
      <c r="B249" s="16">
        <v>5905.21</v>
      </c>
      <c r="C249" s="16">
        <v>5960.61</v>
      </c>
      <c r="D249" s="16">
        <v>5905.21</v>
      </c>
      <c r="E249" s="16">
        <v>5949.91</v>
      </c>
      <c r="F249" s="16">
        <v>5949.91</v>
      </c>
      <c r="G249" s="3">
        <v>4544570000</v>
      </c>
    </row>
    <row r="250" spans="1:7" x14ac:dyDescent="0.3">
      <c r="A250" s="1">
        <v>45671</v>
      </c>
      <c r="B250" s="16">
        <v>5859.27</v>
      </c>
      <c r="C250" s="16">
        <v>5871.92</v>
      </c>
      <c r="D250" s="16">
        <v>5805.42</v>
      </c>
      <c r="E250" s="16">
        <v>5842.91</v>
      </c>
      <c r="F250" s="16">
        <v>5842.91</v>
      </c>
      <c r="G250" s="3">
        <v>4142280000</v>
      </c>
    </row>
    <row r="251" spans="1:7" x14ac:dyDescent="0.3">
      <c r="A251" s="1">
        <v>45670</v>
      </c>
      <c r="B251" s="16">
        <v>5782.02</v>
      </c>
      <c r="C251" s="16">
        <v>5838.61</v>
      </c>
      <c r="D251" s="16">
        <v>5773.31</v>
      </c>
      <c r="E251" s="16">
        <v>5836.22</v>
      </c>
      <c r="F251" s="16">
        <v>5836.22</v>
      </c>
      <c r="G251" s="3">
        <v>4421200000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251"/>
  <sheetViews>
    <sheetView tabSelected="1" zoomScale="65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RowHeight="14.4" x14ac:dyDescent="0.3"/>
  <cols>
    <col min="1" max="1" width="11.88671875" customWidth="1"/>
    <col min="2" max="2" width="18.109375" customWidth="1"/>
    <col min="3" max="3" width="18" customWidth="1"/>
    <col min="4" max="4" width="16" customWidth="1"/>
    <col min="5" max="5" width="17.88671875" customWidth="1"/>
    <col min="6" max="6" width="16" customWidth="1"/>
    <col min="7" max="7" width="19.109375" customWidth="1"/>
  </cols>
  <sheetData>
    <row r="1" spans="1:7" x14ac:dyDescent="0.3">
      <c r="A1" s="4" t="s">
        <v>0</v>
      </c>
      <c r="B1" s="4" t="s">
        <v>7</v>
      </c>
      <c r="C1" s="4" t="s">
        <v>8</v>
      </c>
      <c r="D1" s="4" t="s">
        <v>9</v>
      </c>
      <c r="E1" s="4" t="s">
        <v>10</v>
      </c>
      <c r="F1" s="4" t="s">
        <v>11</v>
      </c>
      <c r="G1" s="4" t="s">
        <v>48</v>
      </c>
    </row>
    <row r="2" spans="1:7" x14ac:dyDescent="0.3">
      <c r="A2" s="1">
        <v>46031</v>
      </c>
      <c r="B2" s="2">
        <v>89.46</v>
      </c>
      <c r="C2">
        <f>INDEX(V!$F$2:$F$252,MATCH($A2,V!$A$2:$A$252,0))</f>
        <v>349.77</v>
      </c>
      <c r="D2">
        <f>INDEX(XOM!$F$2:$F$252,MATCH($A2,XOM!$A$2:$A$252,0))</f>
        <v>124.61</v>
      </c>
      <c r="E2">
        <f>INDEX(PFE!$F$2:$F$252,MATCH($A2,PFE!$A$2:$A$252,0))</f>
        <v>25.48</v>
      </c>
      <c r="F2">
        <f>INDEX(PG!$F$2:$F$252,MATCH($A2,PG!$A$2:$A$252,0))</f>
        <v>141.87</v>
      </c>
      <c r="G2">
        <f>INDEX('S&amp;P 500'!$F$2:$F$251,MATCH($A2,'S&amp;P 500'!$A$2:$A$251,0))</f>
        <v>6966.28</v>
      </c>
    </row>
    <row r="3" spans="1:7" x14ac:dyDescent="0.3">
      <c r="A3" s="1">
        <v>46030</v>
      </c>
      <c r="B3" s="2">
        <v>90.53</v>
      </c>
      <c r="C3">
        <f>INDEX(V!$F$2:$F$252,MATCH($A3,V!$A$2:$A$252,0))</f>
        <v>352.23</v>
      </c>
      <c r="D3">
        <f>INDEX(XOM!$F$2:$F$252,MATCH($A3,XOM!$A$2:$A$252,0))</f>
        <v>122.91</v>
      </c>
      <c r="E3">
        <f>INDEX(PFE!$F$2:$F$252,MATCH($A3,PFE!$A$2:$A$252,0))</f>
        <v>25.29</v>
      </c>
      <c r="F3">
        <f>INDEX(PG!$F$2:$F$252,MATCH($A3,PG!$A$2:$A$252,0))</f>
        <v>141.53</v>
      </c>
      <c r="G3">
        <f>INDEX('S&amp;P 500'!$F$2:$F$251,MATCH($A3,'S&amp;P 500'!$A$2:$A$251,0))</f>
        <v>6921.46</v>
      </c>
    </row>
    <row r="4" spans="1:7" x14ac:dyDescent="0.3">
      <c r="A4" s="1">
        <v>46029</v>
      </c>
      <c r="B4" s="2">
        <v>90.73</v>
      </c>
      <c r="C4">
        <f>INDEX(V!$F$2:$F$252,MATCH($A4,V!$A$2:$A$252,0))</f>
        <v>355.88</v>
      </c>
      <c r="D4">
        <f>INDEX(XOM!$F$2:$F$252,MATCH($A4,XOM!$A$2:$A$252,0))</f>
        <v>118.49</v>
      </c>
      <c r="E4">
        <f>INDEX(PFE!$F$2:$F$252,MATCH($A4,PFE!$A$2:$A$252,0))</f>
        <v>25.28</v>
      </c>
      <c r="F4">
        <f>INDEX(PG!$F$2:$F$252,MATCH($A4,PG!$A$2:$A$252,0))</f>
        <v>138.04</v>
      </c>
      <c r="G4">
        <f>INDEX('S&amp;P 500'!$F$2:$F$251,MATCH($A4,'S&amp;P 500'!$A$2:$A$251,0))</f>
        <v>6920.93</v>
      </c>
    </row>
    <row r="5" spans="1:7" x14ac:dyDescent="0.3">
      <c r="A5" s="1">
        <v>46028</v>
      </c>
      <c r="B5" s="2">
        <v>90.65</v>
      </c>
      <c r="C5">
        <f>INDEX(V!$F$2:$F$252,MATCH($A5,V!$A$2:$A$252,0))</f>
        <v>357.56</v>
      </c>
      <c r="D5">
        <f>INDEX(XOM!$F$2:$F$252,MATCH($A5,XOM!$A$2:$A$252,0))</f>
        <v>121.05</v>
      </c>
      <c r="E5">
        <f>INDEX(PFE!$F$2:$F$252,MATCH($A5,PFE!$A$2:$A$252,0))</f>
        <v>25.43</v>
      </c>
      <c r="F5">
        <f>INDEX(PG!$F$2:$F$252,MATCH($A5,PG!$A$2:$A$252,0))</f>
        <v>139.91</v>
      </c>
      <c r="G5">
        <f>INDEX('S&amp;P 500'!$F$2:$F$251,MATCH($A5,'S&amp;P 500'!$A$2:$A$251,0))</f>
        <v>6944.82</v>
      </c>
    </row>
    <row r="6" spans="1:7" x14ac:dyDescent="0.3">
      <c r="A6" s="1">
        <v>46027</v>
      </c>
      <c r="B6" s="2">
        <v>91.46</v>
      </c>
      <c r="C6">
        <f>INDEX(V!$F$2:$F$252,MATCH($A6,V!$A$2:$A$252,0))</f>
        <v>353.8</v>
      </c>
      <c r="D6">
        <f>INDEX(XOM!$F$2:$F$252,MATCH($A6,XOM!$A$2:$A$252,0))</f>
        <v>125.36</v>
      </c>
      <c r="E6">
        <f>INDEX(PFE!$F$2:$F$252,MATCH($A6,PFE!$A$2:$A$252,0))</f>
        <v>25.17</v>
      </c>
      <c r="F6">
        <f>INDEX(PG!$F$2:$F$252,MATCH($A6,PG!$A$2:$A$252,0))</f>
        <v>140.37</v>
      </c>
      <c r="G6">
        <f>INDEX('S&amp;P 500'!$F$2:$F$251,MATCH($A6,'S&amp;P 500'!$A$2:$A$251,0))</f>
        <v>6902.05</v>
      </c>
    </row>
    <row r="7" spans="1:7" x14ac:dyDescent="0.3">
      <c r="A7" s="1">
        <v>46024</v>
      </c>
      <c r="B7" s="2">
        <v>90.99</v>
      </c>
      <c r="C7">
        <f>INDEX(V!$F$2:$F$252,MATCH($A7,V!$A$2:$A$252,0))</f>
        <v>346.48</v>
      </c>
      <c r="D7">
        <f>INDEX(XOM!$F$2:$F$252,MATCH($A7,XOM!$A$2:$A$252,0))</f>
        <v>122.65</v>
      </c>
      <c r="E7">
        <f>INDEX(PFE!$F$2:$F$252,MATCH($A7,PFE!$A$2:$A$252,0))</f>
        <v>25.18</v>
      </c>
      <c r="F7">
        <f>INDEX(PG!$F$2:$F$252,MATCH($A7,PG!$A$2:$A$252,0))</f>
        <v>141.79</v>
      </c>
      <c r="G7">
        <f>INDEX('S&amp;P 500'!$F$2:$F$251,MATCH($A7,'S&amp;P 500'!$A$2:$A$251,0))</f>
        <v>6858.47</v>
      </c>
    </row>
    <row r="8" spans="1:7" x14ac:dyDescent="0.3">
      <c r="A8" s="1">
        <v>46022</v>
      </c>
      <c r="B8" s="2">
        <v>93.76</v>
      </c>
      <c r="C8">
        <f>INDEX(V!$F$2:$F$252,MATCH($A8,V!$A$2:$A$252,0))</f>
        <v>350.71</v>
      </c>
      <c r="D8">
        <f>INDEX(XOM!$F$2:$F$252,MATCH($A8,XOM!$A$2:$A$252,0))</f>
        <v>120.34</v>
      </c>
      <c r="E8">
        <f>INDEX(PFE!$F$2:$F$252,MATCH($A8,PFE!$A$2:$A$252,0))</f>
        <v>24.9</v>
      </c>
      <c r="F8">
        <f>INDEX(PG!$F$2:$F$252,MATCH($A8,PG!$A$2:$A$252,0))</f>
        <v>143.31</v>
      </c>
      <c r="G8">
        <f>INDEX('S&amp;P 500'!$F$2:$F$251,MATCH($A8,'S&amp;P 500'!$A$2:$A$251,0))</f>
        <v>6845.5</v>
      </c>
    </row>
    <row r="9" spans="1:7" x14ac:dyDescent="0.3">
      <c r="A9" s="1">
        <v>46021</v>
      </c>
      <c r="B9" s="2">
        <v>93.78</v>
      </c>
      <c r="C9">
        <f>INDEX(V!$F$2:$F$252,MATCH($A9,V!$A$2:$A$252,0))</f>
        <v>353.62</v>
      </c>
      <c r="D9">
        <f>INDEX(XOM!$F$2:$F$252,MATCH($A9,XOM!$A$2:$A$252,0))</f>
        <v>120.99</v>
      </c>
      <c r="E9">
        <f>INDEX(PFE!$F$2:$F$252,MATCH($A9,PFE!$A$2:$A$252,0))</f>
        <v>24.99</v>
      </c>
      <c r="F9">
        <f>INDEX(PG!$F$2:$F$252,MATCH($A9,PG!$A$2:$A$252,0))</f>
        <v>144.05000000000001</v>
      </c>
      <c r="G9">
        <f>INDEX('S&amp;P 500'!$F$2:$F$251,MATCH($A9,'S&amp;P 500'!$A$2:$A$251,0))</f>
        <v>6896.24</v>
      </c>
    </row>
    <row r="10" spans="1:7" x14ac:dyDescent="0.3">
      <c r="A10" s="1">
        <v>46020</v>
      </c>
      <c r="B10" s="2">
        <v>94.15</v>
      </c>
      <c r="C10">
        <f>INDEX(V!$F$2:$F$252,MATCH($A10,V!$A$2:$A$252,0))</f>
        <v>354.61</v>
      </c>
      <c r="D10">
        <f>INDEX(XOM!$F$2:$F$252,MATCH($A10,XOM!$A$2:$A$252,0))</f>
        <v>120.53</v>
      </c>
      <c r="E10">
        <f>INDEX(PFE!$F$2:$F$252,MATCH($A10,PFE!$A$2:$A$252,0))</f>
        <v>25</v>
      </c>
      <c r="F10">
        <f>INDEX(PG!$F$2:$F$252,MATCH($A10,PG!$A$2:$A$252,0))</f>
        <v>144.57</v>
      </c>
      <c r="G10">
        <f>INDEX('S&amp;P 500'!$F$2:$F$251,MATCH($A10,'S&amp;P 500'!$A$2:$A$251,0))</f>
        <v>6905.74</v>
      </c>
    </row>
    <row r="11" spans="1:7" x14ac:dyDescent="0.3">
      <c r="A11" s="1">
        <v>46017</v>
      </c>
      <c r="B11" s="2">
        <v>94.47</v>
      </c>
      <c r="C11">
        <f>INDEX(V!$F$2:$F$252,MATCH($A11,V!$A$2:$A$252,0))</f>
        <v>355</v>
      </c>
      <c r="D11">
        <f>INDEX(XOM!$F$2:$F$252,MATCH($A11,XOM!$A$2:$A$252,0))</f>
        <v>119.11</v>
      </c>
      <c r="E11">
        <f>INDEX(PFE!$F$2:$F$252,MATCH($A11,PFE!$A$2:$A$252,0))</f>
        <v>25.09</v>
      </c>
      <c r="F11">
        <f>INDEX(PG!$F$2:$F$252,MATCH($A11,PG!$A$2:$A$252,0))</f>
        <v>144.74</v>
      </c>
      <c r="G11">
        <f>INDEX('S&amp;P 500'!$F$2:$F$251,MATCH($A11,'S&amp;P 500'!$A$2:$A$251,0))</f>
        <v>6929.94</v>
      </c>
    </row>
    <row r="12" spans="1:7" x14ac:dyDescent="0.3">
      <c r="A12" s="1">
        <v>46015</v>
      </c>
      <c r="B12" s="2">
        <v>93.64</v>
      </c>
      <c r="C12">
        <f>INDEX(V!$F$2:$F$252,MATCH($A12,V!$A$2:$A$252,0))</f>
        <v>355.14</v>
      </c>
      <c r="D12">
        <f>INDEX(XOM!$F$2:$F$252,MATCH($A12,XOM!$A$2:$A$252,0))</f>
        <v>119.22</v>
      </c>
      <c r="E12">
        <f>INDEX(PFE!$F$2:$F$252,MATCH($A12,PFE!$A$2:$A$252,0))</f>
        <v>25.03</v>
      </c>
      <c r="F12">
        <f>INDEX(PG!$F$2:$F$252,MATCH($A12,PG!$A$2:$A$252,0))</f>
        <v>144.49</v>
      </c>
      <c r="G12">
        <f>INDEX('S&amp;P 500'!$F$2:$F$251,MATCH($A12,'S&amp;P 500'!$A$2:$A$251,0))</f>
        <v>6932.05</v>
      </c>
    </row>
    <row r="13" spans="1:7" x14ac:dyDescent="0.3">
      <c r="A13" s="1">
        <v>46014</v>
      </c>
      <c r="B13" s="2">
        <v>93.5</v>
      </c>
      <c r="C13">
        <f>INDEX(V!$F$2:$F$252,MATCH($A13,V!$A$2:$A$252,0))</f>
        <v>353.38</v>
      </c>
      <c r="D13">
        <f>INDEX(XOM!$F$2:$F$252,MATCH($A13,XOM!$A$2:$A$252,0))</f>
        <v>119.42</v>
      </c>
      <c r="E13">
        <f>INDEX(PFE!$F$2:$F$252,MATCH($A13,PFE!$A$2:$A$252,0))</f>
        <v>24.88</v>
      </c>
      <c r="F13">
        <f>INDEX(PG!$F$2:$F$252,MATCH($A13,PG!$A$2:$A$252,0))</f>
        <v>143.18</v>
      </c>
      <c r="G13">
        <f>INDEX('S&amp;P 500'!$F$2:$F$251,MATCH($A13,'S&amp;P 500'!$A$2:$A$251,0))</f>
        <v>6909.79</v>
      </c>
    </row>
    <row r="14" spans="1:7" x14ac:dyDescent="0.3">
      <c r="A14" s="1">
        <v>46013</v>
      </c>
      <c r="B14" s="2">
        <v>93.23</v>
      </c>
      <c r="C14">
        <f>INDEX(V!$F$2:$F$252,MATCH($A14,V!$A$2:$A$252,0))</f>
        <v>352.09</v>
      </c>
      <c r="D14">
        <f>INDEX(XOM!$F$2:$F$252,MATCH($A14,XOM!$A$2:$A$252,0))</f>
        <v>118.15</v>
      </c>
      <c r="E14">
        <f>INDEX(PFE!$F$2:$F$252,MATCH($A14,PFE!$A$2:$A$252,0))</f>
        <v>25.21</v>
      </c>
      <c r="F14">
        <f>INDEX(PG!$F$2:$F$252,MATCH($A14,PG!$A$2:$A$252,0))</f>
        <v>142.69</v>
      </c>
      <c r="G14">
        <f>INDEX('S&amp;P 500'!$F$2:$F$251,MATCH($A14,'S&amp;P 500'!$A$2:$A$251,0))</f>
        <v>6878.49</v>
      </c>
    </row>
    <row r="15" spans="1:7" x14ac:dyDescent="0.3">
      <c r="A15" s="1">
        <v>46010</v>
      </c>
      <c r="B15" s="2">
        <v>94.39</v>
      </c>
      <c r="C15">
        <f>INDEX(V!$F$2:$F$252,MATCH($A15,V!$A$2:$A$252,0))</f>
        <v>349.25</v>
      </c>
      <c r="D15">
        <f>INDEX(XOM!$F$2:$F$252,MATCH($A15,XOM!$A$2:$A$252,0))</f>
        <v>116.69</v>
      </c>
      <c r="E15">
        <f>INDEX(PFE!$F$2:$F$252,MATCH($A15,PFE!$A$2:$A$252,0))</f>
        <v>25.19</v>
      </c>
      <c r="F15">
        <f>INDEX(PG!$F$2:$F$252,MATCH($A15,PG!$A$2:$A$252,0))</f>
        <v>144.46</v>
      </c>
      <c r="G15">
        <f>INDEX('S&amp;P 500'!$F$2:$F$251,MATCH($A15,'S&amp;P 500'!$A$2:$A$251,0))</f>
        <v>6834.5</v>
      </c>
    </row>
    <row r="16" spans="1:7" x14ac:dyDescent="0.3">
      <c r="A16" s="1">
        <v>46009</v>
      </c>
      <c r="B16" s="2">
        <v>94</v>
      </c>
      <c r="C16">
        <f>INDEX(V!$F$2:$F$252,MATCH($A16,V!$A$2:$A$252,0))</f>
        <v>346.01</v>
      </c>
      <c r="D16">
        <f>INDEX(XOM!$F$2:$F$252,MATCH($A16,XOM!$A$2:$A$252,0))</f>
        <v>116.54</v>
      </c>
      <c r="E16">
        <f>INDEX(PFE!$F$2:$F$252,MATCH($A16,PFE!$A$2:$A$252,0))</f>
        <v>25.04</v>
      </c>
      <c r="F16">
        <f>INDEX(PG!$F$2:$F$252,MATCH($A16,PG!$A$2:$A$252,0))</f>
        <v>145.52000000000001</v>
      </c>
      <c r="G16">
        <f>INDEX('S&amp;P 500'!$F$2:$F$251,MATCH($A16,'S&amp;P 500'!$A$2:$A$251,0))</f>
        <v>6774.76</v>
      </c>
    </row>
    <row r="17" spans="1:7" x14ac:dyDescent="0.3">
      <c r="A17" s="1">
        <v>46008</v>
      </c>
      <c r="B17" s="2">
        <v>94.79</v>
      </c>
      <c r="C17">
        <f>INDEX(V!$F$2:$F$252,MATCH($A17,V!$A$2:$A$252,0))</f>
        <v>344.41</v>
      </c>
      <c r="D17">
        <f>INDEX(XOM!$F$2:$F$252,MATCH($A17,XOM!$A$2:$A$252,0))</f>
        <v>117.41</v>
      </c>
      <c r="E17">
        <f>INDEX(PFE!$F$2:$F$252,MATCH($A17,PFE!$A$2:$A$252,0))</f>
        <v>25.04</v>
      </c>
      <c r="F17">
        <f>INDEX(PG!$F$2:$F$252,MATCH($A17,PG!$A$2:$A$252,0))</f>
        <v>147.81</v>
      </c>
      <c r="G17">
        <f>INDEX('S&amp;P 500'!$F$2:$F$251,MATCH($A17,'S&amp;P 500'!$A$2:$A$251,0))</f>
        <v>6721.43</v>
      </c>
    </row>
    <row r="18" spans="1:7" x14ac:dyDescent="0.3">
      <c r="A18" s="1">
        <v>46007</v>
      </c>
      <c r="B18" s="2">
        <v>94.57</v>
      </c>
      <c r="C18">
        <f>INDEX(V!$F$2:$F$252,MATCH($A18,V!$A$2:$A$252,0))</f>
        <v>345.11</v>
      </c>
      <c r="D18">
        <f>INDEX(XOM!$F$2:$F$252,MATCH($A18,XOM!$A$2:$A$252,0))</f>
        <v>114.68</v>
      </c>
      <c r="E18">
        <f>INDEX(PFE!$F$2:$F$252,MATCH($A18,PFE!$A$2:$A$252,0))</f>
        <v>25.53</v>
      </c>
      <c r="F18">
        <f>INDEX(PG!$F$2:$F$252,MATCH($A18,PG!$A$2:$A$252,0))</f>
        <v>145.21</v>
      </c>
      <c r="G18">
        <f>INDEX('S&amp;P 500'!$F$2:$F$251,MATCH($A18,'S&amp;P 500'!$A$2:$A$251,0))</f>
        <v>6800.26</v>
      </c>
    </row>
    <row r="19" spans="1:7" x14ac:dyDescent="0.3">
      <c r="A19" s="1">
        <v>46006</v>
      </c>
      <c r="B19" s="2">
        <v>93.77</v>
      </c>
      <c r="C19">
        <f>INDEX(V!$F$2:$F$252,MATCH($A19,V!$A$2:$A$252,0))</f>
        <v>346.89</v>
      </c>
      <c r="D19">
        <f>INDEX(XOM!$F$2:$F$252,MATCH($A19,XOM!$A$2:$A$252,0))</f>
        <v>117.76</v>
      </c>
      <c r="E19">
        <f>INDEX(PFE!$F$2:$F$252,MATCH($A19,PFE!$A$2:$A$252,0))</f>
        <v>26.43</v>
      </c>
      <c r="F19">
        <f>INDEX(PG!$F$2:$F$252,MATCH($A19,PG!$A$2:$A$252,0))</f>
        <v>145.13</v>
      </c>
      <c r="G19">
        <f>INDEX('S&amp;P 500'!$F$2:$F$251,MATCH($A19,'S&amp;P 500'!$A$2:$A$251,0))</f>
        <v>6816.51</v>
      </c>
    </row>
    <row r="20" spans="1:7" x14ac:dyDescent="0.3">
      <c r="A20" s="1">
        <v>46003</v>
      </c>
      <c r="B20" s="2">
        <v>95.19</v>
      </c>
      <c r="C20">
        <f>INDEX(V!$F$2:$F$252,MATCH($A20,V!$A$2:$A$252,0))</f>
        <v>347.83</v>
      </c>
      <c r="D20">
        <f>INDEX(XOM!$F$2:$F$252,MATCH($A20,XOM!$A$2:$A$252,0))</f>
        <v>118.82</v>
      </c>
      <c r="E20">
        <f>INDEX(PFE!$F$2:$F$252,MATCH($A20,PFE!$A$2:$A$252,0))</f>
        <v>25.85</v>
      </c>
      <c r="F20">
        <f>INDEX(PG!$F$2:$F$252,MATCH($A20,PG!$A$2:$A$252,0))</f>
        <v>142.84</v>
      </c>
      <c r="G20">
        <f>INDEX('S&amp;P 500'!$F$2:$F$251,MATCH($A20,'S&amp;P 500'!$A$2:$A$251,0))</f>
        <v>6827.41</v>
      </c>
    </row>
    <row r="21" spans="1:7" x14ac:dyDescent="0.3">
      <c r="A21" s="1">
        <v>46002</v>
      </c>
      <c r="B21" s="2">
        <v>94.09</v>
      </c>
      <c r="C21">
        <f>INDEX(V!$F$2:$F$252,MATCH($A21,V!$A$2:$A$252,0))</f>
        <v>345.63</v>
      </c>
      <c r="D21">
        <f>INDEX(XOM!$F$2:$F$252,MATCH($A21,XOM!$A$2:$A$252,0))</f>
        <v>119.54</v>
      </c>
      <c r="E21">
        <f>INDEX(PFE!$F$2:$F$252,MATCH($A21,PFE!$A$2:$A$252,0))</f>
        <v>25.8</v>
      </c>
      <c r="F21">
        <f>INDEX(PG!$F$2:$F$252,MATCH($A21,PG!$A$2:$A$252,0))</f>
        <v>140.76</v>
      </c>
      <c r="G21">
        <f>INDEX('S&amp;P 500'!$F$2:$F$251,MATCH($A21,'S&amp;P 500'!$A$2:$A$251,0))</f>
        <v>6901</v>
      </c>
    </row>
    <row r="22" spans="1:7" x14ac:dyDescent="0.3">
      <c r="A22" s="1">
        <v>46001</v>
      </c>
      <c r="B22" s="2">
        <v>92.71</v>
      </c>
      <c r="C22">
        <f>INDEX(V!$F$2:$F$252,MATCH($A22,V!$A$2:$A$252,0))</f>
        <v>325.73</v>
      </c>
      <c r="D22">
        <f>INDEX(XOM!$F$2:$F$252,MATCH($A22,XOM!$A$2:$A$252,0))</f>
        <v>119.54</v>
      </c>
      <c r="E22">
        <f>INDEX(PFE!$F$2:$F$252,MATCH($A22,PFE!$A$2:$A$252,0))</f>
        <v>25.78</v>
      </c>
      <c r="F22">
        <f>INDEX(PG!$F$2:$F$252,MATCH($A22,PG!$A$2:$A$252,0))</f>
        <v>139.82</v>
      </c>
      <c r="G22">
        <f>INDEX('S&amp;P 500'!$F$2:$F$251,MATCH($A22,'S&amp;P 500'!$A$2:$A$251,0))</f>
        <v>6886.68</v>
      </c>
    </row>
    <row r="23" spans="1:7" x14ac:dyDescent="0.3">
      <c r="A23" s="1">
        <v>46000</v>
      </c>
      <c r="B23" s="2">
        <v>96.71</v>
      </c>
      <c r="C23">
        <f>INDEX(V!$F$2:$F$252,MATCH($A23,V!$A$2:$A$252,0))</f>
        <v>326.5</v>
      </c>
      <c r="D23">
        <f>INDEX(XOM!$F$2:$F$252,MATCH($A23,XOM!$A$2:$A$252,0))</f>
        <v>118.25</v>
      </c>
      <c r="E23">
        <f>INDEX(PFE!$F$2:$F$252,MATCH($A23,PFE!$A$2:$A$252,0))</f>
        <v>25.33</v>
      </c>
      <c r="F23">
        <f>INDEX(PG!$F$2:$F$252,MATCH($A23,PG!$A$2:$A$252,0))</f>
        <v>139.63</v>
      </c>
      <c r="G23">
        <f>INDEX('S&amp;P 500'!$F$2:$F$251,MATCH($A23,'S&amp;P 500'!$A$2:$A$251,0))</f>
        <v>6840.51</v>
      </c>
    </row>
    <row r="24" spans="1:7" x14ac:dyDescent="0.3">
      <c r="A24" s="1">
        <v>45999</v>
      </c>
      <c r="B24" s="2">
        <v>96.79</v>
      </c>
      <c r="C24">
        <f>INDEX(V!$F$2:$F$252,MATCH($A24,V!$A$2:$A$252,0))</f>
        <v>326.83999999999997</v>
      </c>
      <c r="D24">
        <f>INDEX(XOM!$F$2:$F$252,MATCH($A24,XOM!$A$2:$A$252,0))</f>
        <v>115.98</v>
      </c>
      <c r="E24">
        <f>INDEX(PFE!$F$2:$F$252,MATCH($A24,PFE!$A$2:$A$252,0))</f>
        <v>25.77</v>
      </c>
      <c r="F24">
        <f>INDEX(PG!$F$2:$F$252,MATCH($A24,PG!$A$2:$A$252,0))</f>
        <v>138.34</v>
      </c>
      <c r="G24">
        <f>INDEX('S&amp;P 500'!$F$2:$F$251,MATCH($A24,'S&amp;P 500'!$A$2:$A$251,0))</f>
        <v>6846.51</v>
      </c>
    </row>
    <row r="25" spans="1:7" x14ac:dyDescent="0.3">
      <c r="A25" s="1">
        <v>45996</v>
      </c>
      <c r="B25" s="2">
        <v>100.24</v>
      </c>
      <c r="C25">
        <f>INDEX(V!$F$2:$F$252,MATCH($A25,V!$A$2:$A$252,0))</f>
        <v>331.24</v>
      </c>
      <c r="D25">
        <f>INDEX(XOM!$F$2:$F$252,MATCH($A25,XOM!$A$2:$A$252,0))</f>
        <v>116.54</v>
      </c>
      <c r="E25">
        <f>INDEX(PFE!$F$2:$F$252,MATCH($A25,PFE!$A$2:$A$252,0))</f>
        <v>26.03</v>
      </c>
      <c r="F25">
        <f>INDEX(PG!$F$2:$F$252,MATCH($A25,PG!$A$2:$A$252,0))</f>
        <v>143.44999999999999</v>
      </c>
      <c r="G25">
        <f>INDEX('S&amp;P 500'!$F$2:$F$251,MATCH($A25,'S&amp;P 500'!$A$2:$A$251,0))</f>
        <v>6870.4</v>
      </c>
    </row>
    <row r="26" spans="1:7" x14ac:dyDescent="0.3">
      <c r="A26" s="1">
        <v>45995</v>
      </c>
      <c r="B26" s="2">
        <v>103.22</v>
      </c>
      <c r="C26">
        <f>INDEX(V!$F$2:$F$252,MATCH($A26,V!$A$2:$A$252,0))</f>
        <v>327.10000000000002</v>
      </c>
      <c r="D26">
        <f>INDEX(XOM!$F$2:$F$252,MATCH($A26,XOM!$A$2:$A$252,0))</f>
        <v>117.14</v>
      </c>
      <c r="E26">
        <f>INDEX(PFE!$F$2:$F$252,MATCH($A26,PFE!$A$2:$A$252,0))</f>
        <v>25.7</v>
      </c>
      <c r="F26">
        <f>INDEX(PG!$F$2:$F$252,MATCH($A26,PG!$A$2:$A$252,0))</f>
        <v>145.36000000000001</v>
      </c>
      <c r="G26">
        <f>INDEX('S&amp;P 500'!$F$2:$F$251,MATCH($A26,'S&amp;P 500'!$A$2:$A$251,0))</f>
        <v>6857.12</v>
      </c>
    </row>
    <row r="27" spans="1:7" x14ac:dyDescent="0.3">
      <c r="A27" s="1">
        <v>45994</v>
      </c>
      <c r="B27" s="2">
        <v>103.96</v>
      </c>
      <c r="C27">
        <f>INDEX(V!$F$2:$F$252,MATCH($A27,V!$A$2:$A$252,0))</f>
        <v>329.61</v>
      </c>
      <c r="D27">
        <f>INDEX(XOM!$F$2:$F$252,MATCH($A27,XOM!$A$2:$A$252,0))</f>
        <v>117.8</v>
      </c>
      <c r="E27">
        <f>INDEX(PFE!$F$2:$F$252,MATCH($A27,PFE!$A$2:$A$252,0))</f>
        <v>25.57</v>
      </c>
      <c r="F27">
        <f>INDEX(PG!$F$2:$F$252,MATCH($A27,PG!$A$2:$A$252,0))</f>
        <v>146.71</v>
      </c>
      <c r="G27">
        <f>INDEX('S&amp;P 500'!$F$2:$F$251,MATCH($A27,'S&amp;P 500'!$A$2:$A$251,0))</f>
        <v>6849.72</v>
      </c>
    </row>
    <row r="28" spans="1:7" x14ac:dyDescent="0.3">
      <c r="A28" s="1">
        <v>45993</v>
      </c>
      <c r="B28" s="2">
        <v>109.35</v>
      </c>
      <c r="C28">
        <f>INDEX(V!$F$2:$F$252,MATCH($A28,V!$A$2:$A$252,0))</f>
        <v>329.62</v>
      </c>
      <c r="D28">
        <f>INDEX(XOM!$F$2:$F$252,MATCH($A28,XOM!$A$2:$A$252,0))</f>
        <v>115.38</v>
      </c>
      <c r="E28">
        <f>INDEX(PFE!$F$2:$F$252,MATCH($A28,PFE!$A$2:$A$252,0))</f>
        <v>25.15</v>
      </c>
      <c r="F28">
        <f>INDEX(PG!$F$2:$F$252,MATCH($A28,PG!$A$2:$A$252,0))</f>
        <v>145.86000000000001</v>
      </c>
      <c r="G28">
        <f>INDEX('S&amp;P 500'!$F$2:$F$251,MATCH($A28,'S&amp;P 500'!$A$2:$A$251,0))</f>
        <v>6829.37</v>
      </c>
    </row>
    <row r="29" spans="1:7" x14ac:dyDescent="0.3">
      <c r="A29" s="1">
        <v>45992</v>
      </c>
      <c r="B29" s="2">
        <v>109.13</v>
      </c>
      <c r="C29">
        <f>INDEX(V!$F$2:$F$252,MATCH($A29,V!$A$2:$A$252,0))</f>
        <v>330.39</v>
      </c>
      <c r="D29">
        <f>INDEX(XOM!$F$2:$F$252,MATCH($A29,XOM!$A$2:$A$252,0))</f>
        <v>116.63</v>
      </c>
      <c r="E29">
        <f>INDEX(PFE!$F$2:$F$252,MATCH($A29,PFE!$A$2:$A$252,0))</f>
        <v>25.27</v>
      </c>
      <c r="F29">
        <f>INDEX(PG!$F$2:$F$252,MATCH($A29,PG!$A$2:$A$252,0))</f>
        <v>147.44</v>
      </c>
      <c r="G29">
        <f>INDEX('S&amp;P 500'!$F$2:$F$251,MATCH($A29,'S&amp;P 500'!$A$2:$A$251,0))</f>
        <v>6812.63</v>
      </c>
    </row>
    <row r="30" spans="1:7" x14ac:dyDescent="0.3">
      <c r="A30" s="1">
        <v>45989</v>
      </c>
      <c r="B30" s="2">
        <v>107.58</v>
      </c>
      <c r="C30">
        <f>INDEX(V!$F$2:$F$252,MATCH($A30,V!$A$2:$A$252,0))</f>
        <v>334.44</v>
      </c>
      <c r="D30">
        <f>INDEX(XOM!$F$2:$F$252,MATCH($A30,XOM!$A$2:$A$252,0))</f>
        <v>115.92</v>
      </c>
      <c r="E30">
        <f>INDEX(PFE!$F$2:$F$252,MATCH($A30,PFE!$A$2:$A$252,0))</f>
        <v>25.74</v>
      </c>
      <c r="F30">
        <f>INDEX(PG!$F$2:$F$252,MATCH($A30,PG!$A$2:$A$252,0))</f>
        <v>148.16</v>
      </c>
      <c r="G30">
        <f>INDEX('S&amp;P 500'!$F$2:$F$251,MATCH($A30,'S&amp;P 500'!$A$2:$A$251,0))</f>
        <v>6849.09</v>
      </c>
    </row>
    <row r="31" spans="1:7" x14ac:dyDescent="0.3">
      <c r="A31" s="1">
        <v>45987</v>
      </c>
      <c r="B31" s="2">
        <v>106.14</v>
      </c>
      <c r="C31">
        <f>INDEX(V!$F$2:$F$252,MATCH($A31,V!$A$2:$A$252,0))</f>
        <v>333.79</v>
      </c>
      <c r="D31">
        <f>INDEX(XOM!$F$2:$F$252,MATCH($A31,XOM!$A$2:$A$252,0))</f>
        <v>114.77</v>
      </c>
      <c r="E31">
        <f>INDEX(PFE!$F$2:$F$252,MATCH($A31,PFE!$A$2:$A$252,0))</f>
        <v>25.71</v>
      </c>
      <c r="F31">
        <f>INDEX(PG!$F$2:$F$252,MATCH($A31,PG!$A$2:$A$252,0))</f>
        <v>148.25</v>
      </c>
      <c r="G31">
        <f>INDEX('S&amp;P 500'!$F$2:$F$251,MATCH($A31,'S&amp;P 500'!$A$2:$A$251,0))</f>
        <v>6812.61</v>
      </c>
    </row>
    <row r="32" spans="1:7" x14ac:dyDescent="0.3">
      <c r="A32" s="1">
        <v>45986</v>
      </c>
      <c r="B32" s="2">
        <v>104.4</v>
      </c>
      <c r="C32">
        <f>INDEX(V!$F$2:$F$252,MATCH($A32,V!$A$2:$A$252,0))</f>
        <v>334.53</v>
      </c>
      <c r="D32">
        <f>INDEX(XOM!$F$2:$F$252,MATCH($A32,XOM!$A$2:$A$252,0))</f>
        <v>114.51</v>
      </c>
      <c r="E32">
        <f>INDEX(PFE!$F$2:$F$252,MATCH($A32,PFE!$A$2:$A$252,0))</f>
        <v>25.72</v>
      </c>
      <c r="F32">
        <f>INDEX(PG!$F$2:$F$252,MATCH($A32,PG!$A$2:$A$252,0))</f>
        <v>148.49</v>
      </c>
      <c r="G32">
        <f>INDEX('S&amp;P 500'!$F$2:$F$251,MATCH($A32,'S&amp;P 500'!$A$2:$A$251,0))</f>
        <v>6765.88</v>
      </c>
    </row>
    <row r="33" spans="1:7" x14ac:dyDescent="0.3">
      <c r="A33" s="1">
        <v>45985</v>
      </c>
      <c r="B33" s="2">
        <v>106.97</v>
      </c>
      <c r="C33">
        <f>INDEX(V!$F$2:$F$252,MATCH($A33,V!$A$2:$A$252,0))</f>
        <v>329.3</v>
      </c>
      <c r="D33">
        <f>INDEX(XOM!$F$2:$F$252,MATCH($A33,XOM!$A$2:$A$252,0))</f>
        <v>115.97</v>
      </c>
      <c r="E33">
        <f>INDEX(PFE!$F$2:$F$252,MATCH($A33,PFE!$A$2:$A$252,0))</f>
        <v>25.22</v>
      </c>
      <c r="F33">
        <f>INDEX(PG!$F$2:$F$252,MATCH($A33,PG!$A$2:$A$252,0))</f>
        <v>146.97999999999999</v>
      </c>
      <c r="G33">
        <f>INDEX('S&amp;P 500'!$F$2:$F$251,MATCH($A33,'S&amp;P 500'!$A$2:$A$251,0))</f>
        <v>6705.12</v>
      </c>
    </row>
    <row r="34" spans="1:7" x14ac:dyDescent="0.3">
      <c r="A34" s="1">
        <v>45982</v>
      </c>
      <c r="B34" s="2">
        <v>104.31</v>
      </c>
      <c r="C34">
        <f>INDEX(V!$F$2:$F$252,MATCH($A34,V!$A$2:$A$252,0))</f>
        <v>327.98</v>
      </c>
      <c r="D34">
        <f>INDEX(XOM!$F$2:$F$252,MATCH($A34,XOM!$A$2:$A$252,0))</f>
        <v>117.08</v>
      </c>
      <c r="E34">
        <f>INDEX(PFE!$F$2:$F$252,MATCH($A34,PFE!$A$2:$A$252,0))</f>
        <v>25.04</v>
      </c>
      <c r="F34">
        <f>INDEX(PG!$F$2:$F$252,MATCH($A34,PG!$A$2:$A$252,0))</f>
        <v>150.91999999999999</v>
      </c>
      <c r="G34">
        <f>INDEX('S&amp;P 500'!$F$2:$F$251,MATCH($A34,'S&amp;P 500'!$A$2:$A$251,0))</f>
        <v>6602.99</v>
      </c>
    </row>
    <row r="35" spans="1:7" x14ac:dyDescent="0.3">
      <c r="A35" s="1">
        <v>45981</v>
      </c>
      <c r="B35" s="2">
        <v>105.67</v>
      </c>
      <c r="C35">
        <f>INDEX(V!$F$2:$F$252,MATCH($A35,V!$A$2:$A$252,0))</f>
        <v>323.77</v>
      </c>
      <c r="D35">
        <f>INDEX(XOM!$F$2:$F$252,MATCH($A35,XOM!$A$2:$A$252,0))</f>
        <v>117.02</v>
      </c>
      <c r="E35">
        <f>INDEX(PFE!$F$2:$F$252,MATCH($A35,PFE!$A$2:$A$252,0))</f>
        <v>24.4</v>
      </c>
      <c r="F35">
        <f>INDEX(PG!$F$2:$F$252,MATCH($A35,PG!$A$2:$A$252,0))</f>
        <v>148.19</v>
      </c>
      <c r="G35">
        <f>INDEX('S&amp;P 500'!$F$2:$F$251,MATCH($A35,'S&amp;P 500'!$A$2:$A$251,0))</f>
        <v>6538.76</v>
      </c>
    </row>
    <row r="36" spans="1:7" x14ac:dyDescent="0.3">
      <c r="A36" s="1">
        <v>45980</v>
      </c>
      <c r="B36" s="2">
        <v>110</v>
      </c>
      <c r="C36">
        <f>INDEX(V!$F$2:$F$252,MATCH($A36,V!$A$2:$A$252,0))</f>
        <v>324.12</v>
      </c>
      <c r="D36">
        <f>INDEX(XOM!$F$2:$F$252,MATCH($A36,XOM!$A$2:$A$252,0))</f>
        <v>117.35</v>
      </c>
      <c r="E36">
        <f>INDEX(PFE!$F$2:$F$252,MATCH($A36,PFE!$A$2:$A$252,0))</f>
        <v>24.88</v>
      </c>
      <c r="F36">
        <f>INDEX(PG!$F$2:$F$252,MATCH($A36,PG!$A$2:$A$252,0))</f>
        <v>146.99</v>
      </c>
      <c r="G36">
        <f>INDEX('S&amp;P 500'!$F$2:$F$251,MATCH($A36,'S&amp;P 500'!$A$2:$A$251,0))</f>
        <v>6642.16</v>
      </c>
    </row>
    <row r="37" spans="1:7" x14ac:dyDescent="0.3">
      <c r="A37" s="1">
        <v>45979</v>
      </c>
      <c r="B37" s="2">
        <v>114.09</v>
      </c>
      <c r="C37">
        <f>INDEX(V!$F$2:$F$252,MATCH($A37,V!$A$2:$A$252,0))</f>
        <v>321.18</v>
      </c>
      <c r="D37">
        <f>INDEX(XOM!$F$2:$F$252,MATCH($A37,XOM!$A$2:$A$252,0))</f>
        <v>119.03</v>
      </c>
      <c r="E37">
        <f>INDEX(PFE!$F$2:$F$252,MATCH($A37,PFE!$A$2:$A$252,0))</f>
        <v>25.45</v>
      </c>
      <c r="F37">
        <f>INDEX(PG!$F$2:$F$252,MATCH($A37,PG!$A$2:$A$252,0))</f>
        <v>146.99</v>
      </c>
      <c r="G37">
        <f>INDEX('S&amp;P 500'!$F$2:$F$251,MATCH($A37,'S&amp;P 500'!$A$2:$A$251,0))</f>
        <v>6617.32</v>
      </c>
    </row>
    <row r="38" spans="1:7" x14ac:dyDescent="0.3">
      <c r="A38" s="1">
        <v>45978</v>
      </c>
      <c r="B38" s="2">
        <v>110.29</v>
      </c>
      <c r="C38">
        <f>INDEX(V!$F$2:$F$252,MATCH($A38,V!$A$2:$A$252,0))</f>
        <v>325.75</v>
      </c>
      <c r="D38">
        <f>INDEX(XOM!$F$2:$F$252,MATCH($A38,XOM!$A$2:$A$252,0))</f>
        <v>117.68</v>
      </c>
      <c r="E38">
        <f>INDEX(PFE!$F$2:$F$252,MATCH($A38,PFE!$A$2:$A$252,0))</f>
        <v>25.08</v>
      </c>
      <c r="F38">
        <f>INDEX(PG!$F$2:$F$252,MATCH($A38,PG!$A$2:$A$252,0))</f>
        <v>145.82</v>
      </c>
      <c r="G38">
        <f>INDEX('S&amp;P 500'!$F$2:$F$251,MATCH($A38,'S&amp;P 500'!$A$2:$A$251,0))</f>
        <v>6672.41</v>
      </c>
    </row>
    <row r="39" spans="1:7" x14ac:dyDescent="0.3">
      <c r="A39" s="1">
        <v>45975</v>
      </c>
      <c r="B39" s="2">
        <v>111.22</v>
      </c>
      <c r="C39">
        <f>INDEX(V!$F$2:$F$252,MATCH($A39,V!$A$2:$A$252,0))</f>
        <v>330.02</v>
      </c>
      <c r="D39">
        <f>INDEX(XOM!$F$2:$F$252,MATCH($A39,XOM!$A$2:$A$252,0))</f>
        <v>119.29</v>
      </c>
      <c r="E39">
        <f>INDEX(PFE!$F$2:$F$252,MATCH($A39,PFE!$A$2:$A$252,0))</f>
        <v>25.06</v>
      </c>
      <c r="F39">
        <f>INDEX(PG!$F$2:$F$252,MATCH($A39,PG!$A$2:$A$252,0))</f>
        <v>147.66999999999999</v>
      </c>
      <c r="G39">
        <f>INDEX('S&amp;P 500'!$F$2:$F$251,MATCH($A39,'S&amp;P 500'!$A$2:$A$251,0))</f>
        <v>6734.11</v>
      </c>
    </row>
    <row r="40" spans="1:7" x14ac:dyDescent="0.3">
      <c r="A40" s="1">
        <v>45974</v>
      </c>
      <c r="B40" s="2">
        <v>115.42</v>
      </c>
      <c r="C40">
        <f>INDEX(V!$F$2:$F$252,MATCH($A40,V!$A$2:$A$252,0))</f>
        <v>336.08</v>
      </c>
      <c r="D40">
        <f>INDEX(XOM!$F$2:$F$252,MATCH($A40,XOM!$A$2:$A$252,0))</f>
        <v>117.76</v>
      </c>
      <c r="E40">
        <f>INDEX(PFE!$F$2:$F$252,MATCH($A40,PFE!$A$2:$A$252,0))</f>
        <v>25.79</v>
      </c>
      <c r="F40">
        <f>INDEX(PG!$F$2:$F$252,MATCH($A40,PG!$A$2:$A$252,0))</f>
        <v>147.96</v>
      </c>
      <c r="G40">
        <f>INDEX('S&amp;P 500'!$F$2:$F$251,MATCH($A40,'S&amp;P 500'!$A$2:$A$251,0))</f>
        <v>6737.49</v>
      </c>
    </row>
    <row r="41" spans="1:7" x14ac:dyDescent="0.3">
      <c r="A41" s="1">
        <v>45973</v>
      </c>
      <c r="B41" s="2">
        <v>115.75</v>
      </c>
      <c r="C41">
        <f>INDEX(V!$F$2:$F$252,MATCH($A41,V!$A$2:$A$252,0))</f>
        <v>338.88</v>
      </c>
      <c r="D41">
        <f>INDEX(XOM!$F$2:$F$252,MATCH($A41,XOM!$A$2:$A$252,0))</f>
        <v>117.1</v>
      </c>
      <c r="E41">
        <f>INDEX(PFE!$F$2:$F$252,MATCH($A41,PFE!$A$2:$A$252,0))</f>
        <v>25.87</v>
      </c>
      <c r="F41">
        <f>INDEX(PG!$F$2:$F$252,MATCH($A41,PG!$A$2:$A$252,0))</f>
        <v>148.01</v>
      </c>
      <c r="G41">
        <f>INDEX('S&amp;P 500'!$F$2:$F$251,MATCH($A41,'S&amp;P 500'!$A$2:$A$251,0))</f>
        <v>6850.92</v>
      </c>
    </row>
    <row r="42" spans="1:7" x14ac:dyDescent="0.3">
      <c r="A42" s="1">
        <v>45972</v>
      </c>
      <c r="B42" s="2">
        <v>113.64</v>
      </c>
      <c r="C42">
        <f>INDEX(V!$F$2:$F$252,MATCH($A42,V!$A$2:$A$252,0))</f>
        <v>338.25</v>
      </c>
      <c r="D42">
        <f>INDEX(XOM!$F$2:$F$252,MATCH($A42,XOM!$A$2:$A$252,0))</f>
        <v>118.74</v>
      </c>
      <c r="E42">
        <f>INDEX(PFE!$F$2:$F$252,MATCH($A42,PFE!$A$2:$A$252,0))</f>
        <v>25.51</v>
      </c>
      <c r="F42">
        <f>INDEX(PG!$F$2:$F$252,MATCH($A42,PG!$A$2:$A$252,0))</f>
        <v>148.54</v>
      </c>
      <c r="G42">
        <f>INDEX('S&amp;P 500'!$F$2:$F$251,MATCH($A42,'S&amp;P 500'!$A$2:$A$251,0))</f>
        <v>6846.61</v>
      </c>
    </row>
    <row r="43" spans="1:7" x14ac:dyDescent="0.3">
      <c r="A43" s="1">
        <v>45971</v>
      </c>
      <c r="B43" s="2">
        <v>112.01</v>
      </c>
      <c r="C43">
        <f>INDEX(V!$F$2:$F$252,MATCH($A43,V!$A$2:$A$252,0))</f>
        <v>334.19</v>
      </c>
      <c r="D43">
        <f>INDEX(XOM!$F$2:$F$252,MATCH($A43,XOM!$A$2:$A$252,0))</f>
        <v>117.19</v>
      </c>
      <c r="E43">
        <f>INDEX(PFE!$F$2:$F$252,MATCH($A43,PFE!$A$2:$A$252,0))</f>
        <v>24.39</v>
      </c>
      <c r="F43">
        <f>INDEX(PG!$F$2:$F$252,MATCH($A43,PG!$A$2:$A$252,0))</f>
        <v>145.5</v>
      </c>
      <c r="G43">
        <f>INDEX('S&amp;P 500'!$F$2:$F$251,MATCH($A43,'S&amp;P 500'!$A$2:$A$251,0))</f>
        <v>6832.43</v>
      </c>
    </row>
    <row r="44" spans="1:7" x14ac:dyDescent="0.3">
      <c r="A44" s="1">
        <v>45968</v>
      </c>
      <c r="B44" s="2">
        <v>110.37</v>
      </c>
      <c r="C44">
        <f>INDEX(V!$F$2:$F$252,MATCH($A44,V!$A$2:$A$252,0))</f>
        <v>335.36</v>
      </c>
      <c r="D44">
        <f>INDEX(XOM!$F$2:$F$252,MATCH($A44,XOM!$A$2:$A$252,0))</f>
        <v>116.2</v>
      </c>
      <c r="E44">
        <f>INDEX(PFE!$F$2:$F$252,MATCH($A44,PFE!$A$2:$A$252,0))</f>
        <v>24.43</v>
      </c>
      <c r="F44">
        <f>INDEX(PG!$F$2:$F$252,MATCH($A44,PG!$A$2:$A$252,0))</f>
        <v>146.97999999999999</v>
      </c>
      <c r="G44">
        <f>INDEX('S&amp;P 500'!$F$2:$F$251,MATCH($A44,'S&amp;P 500'!$A$2:$A$251,0))</f>
        <v>6728.8</v>
      </c>
    </row>
    <row r="45" spans="1:7" x14ac:dyDescent="0.3">
      <c r="A45" s="1">
        <v>45967</v>
      </c>
      <c r="B45" s="2">
        <v>109.7</v>
      </c>
      <c r="C45">
        <f>INDEX(V!$F$2:$F$252,MATCH($A45,V!$A$2:$A$252,0))</f>
        <v>336.29</v>
      </c>
      <c r="D45">
        <f>INDEX(XOM!$F$2:$F$252,MATCH($A45,XOM!$A$2:$A$252,0))</f>
        <v>113.51</v>
      </c>
      <c r="E45">
        <f>INDEX(PFE!$F$2:$F$252,MATCH($A45,PFE!$A$2:$A$252,0))</f>
        <v>24.42</v>
      </c>
      <c r="F45">
        <f>INDEX(PG!$F$2:$F$252,MATCH($A45,PG!$A$2:$A$252,0))</f>
        <v>146.13</v>
      </c>
      <c r="G45">
        <f>INDEX('S&amp;P 500'!$F$2:$F$251,MATCH($A45,'S&amp;P 500'!$A$2:$A$251,0))</f>
        <v>6720.32</v>
      </c>
    </row>
    <row r="46" spans="1:7" x14ac:dyDescent="0.3">
      <c r="A46" s="1">
        <v>45966</v>
      </c>
      <c r="B46" s="2">
        <v>109.85</v>
      </c>
      <c r="C46">
        <f>INDEX(V!$F$2:$F$252,MATCH($A46,V!$A$2:$A$252,0))</f>
        <v>339.37</v>
      </c>
      <c r="D46">
        <f>INDEX(XOM!$F$2:$F$252,MATCH($A46,XOM!$A$2:$A$252,0))</f>
        <v>112.69</v>
      </c>
      <c r="E46">
        <f>INDEX(PFE!$F$2:$F$252,MATCH($A46,PFE!$A$2:$A$252,0))</f>
        <v>24.18</v>
      </c>
      <c r="F46">
        <f>INDEX(PG!$F$2:$F$252,MATCH($A46,PG!$A$2:$A$252,0))</f>
        <v>145.79</v>
      </c>
      <c r="G46">
        <f>INDEX('S&amp;P 500'!$F$2:$F$251,MATCH($A46,'S&amp;P 500'!$A$2:$A$251,0))</f>
        <v>6796.29</v>
      </c>
    </row>
    <row r="47" spans="1:7" x14ac:dyDescent="0.3">
      <c r="A47" s="1">
        <v>45965</v>
      </c>
      <c r="B47" s="2">
        <v>109.3</v>
      </c>
      <c r="C47">
        <f>INDEX(V!$F$2:$F$252,MATCH($A47,V!$A$2:$A$252,0))</f>
        <v>339.63</v>
      </c>
      <c r="D47">
        <f>INDEX(XOM!$F$2:$F$252,MATCH($A47,XOM!$A$2:$A$252,0))</f>
        <v>113.15</v>
      </c>
      <c r="E47">
        <f>INDEX(PFE!$F$2:$F$252,MATCH($A47,PFE!$A$2:$A$252,0))</f>
        <v>23.88</v>
      </c>
      <c r="F47">
        <f>INDEX(PG!$F$2:$F$252,MATCH($A47,PG!$A$2:$A$252,0))</f>
        <v>147.16999999999999</v>
      </c>
      <c r="G47">
        <f>INDEX('S&amp;P 500'!$F$2:$F$251,MATCH($A47,'S&amp;P 500'!$A$2:$A$251,0))</f>
        <v>6771.55</v>
      </c>
    </row>
    <row r="48" spans="1:7" x14ac:dyDescent="0.3">
      <c r="A48" s="1">
        <v>45964</v>
      </c>
      <c r="B48" s="2">
        <v>110.01</v>
      </c>
      <c r="C48">
        <f>INDEX(V!$F$2:$F$252,MATCH($A48,V!$A$2:$A$252,0))</f>
        <v>336.23</v>
      </c>
      <c r="D48">
        <f>INDEX(XOM!$F$2:$F$252,MATCH($A48,XOM!$A$2:$A$252,0))</f>
        <v>112.77</v>
      </c>
      <c r="E48">
        <f>INDEX(PFE!$F$2:$F$252,MATCH($A48,PFE!$A$2:$A$252,0))</f>
        <v>24.23</v>
      </c>
      <c r="F48">
        <f>INDEX(PG!$F$2:$F$252,MATCH($A48,PG!$A$2:$A$252,0))</f>
        <v>148.02000000000001</v>
      </c>
      <c r="G48">
        <f>INDEX('S&amp;P 500'!$F$2:$F$251,MATCH($A48,'S&amp;P 500'!$A$2:$A$251,0))</f>
        <v>6851.97</v>
      </c>
    </row>
    <row r="49" spans="1:7" x14ac:dyDescent="0.3">
      <c r="A49" s="1">
        <v>45961</v>
      </c>
      <c r="B49" s="2">
        <v>111.89</v>
      </c>
      <c r="C49">
        <f>INDEX(V!$F$2:$F$252,MATCH($A49,V!$A$2:$A$252,0))</f>
        <v>340.07</v>
      </c>
      <c r="D49">
        <f>INDEX(XOM!$F$2:$F$252,MATCH($A49,XOM!$A$2:$A$252,0))</f>
        <v>113.37</v>
      </c>
      <c r="E49">
        <f>INDEX(PFE!$F$2:$F$252,MATCH($A49,PFE!$A$2:$A$252,0))</f>
        <v>24.22</v>
      </c>
      <c r="F49">
        <f>INDEX(PG!$F$2:$F$252,MATCH($A49,PG!$A$2:$A$252,0))</f>
        <v>150.37</v>
      </c>
      <c r="G49">
        <f>INDEX('S&amp;P 500'!$F$2:$F$251,MATCH($A49,'S&amp;P 500'!$A$2:$A$251,0))</f>
        <v>6840.2</v>
      </c>
    </row>
    <row r="50" spans="1:7" x14ac:dyDescent="0.3">
      <c r="A50" s="1">
        <v>45960</v>
      </c>
      <c r="B50" s="2">
        <v>108.9</v>
      </c>
      <c r="C50">
        <f>INDEX(V!$F$2:$F$252,MATCH($A50,V!$A$2:$A$252,0))</f>
        <v>344.35</v>
      </c>
      <c r="D50">
        <f>INDEX(XOM!$F$2:$F$252,MATCH($A50,XOM!$A$2:$A$252,0))</f>
        <v>113.7</v>
      </c>
      <c r="E50">
        <f>INDEX(PFE!$F$2:$F$252,MATCH($A50,PFE!$A$2:$A$252,0))</f>
        <v>23.87</v>
      </c>
      <c r="F50">
        <f>INDEX(PG!$F$2:$F$252,MATCH($A50,PG!$A$2:$A$252,0))</f>
        <v>149.58000000000001</v>
      </c>
      <c r="G50">
        <f>INDEX('S&amp;P 500'!$F$2:$F$251,MATCH($A50,'S&amp;P 500'!$A$2:$A$251,0))</f>
        <v>6822.34</v>
      </c>
    </row>
    <row r="51" spans="1:7" x14ac:dyDescent="0.3">
      <c r="A51" s="1">
        <v>45959</v>
      </c>
      <c r="B51" s="2">
        <v>110.04</v>
      </c>
      <c r="C51">
        <f>INDEX(V!$F$2:$F$252,MATCH($A51,V!$A$2:$A$252,0))</f>
        <v>340.61</v>
      </c>
      <c r="D51">
        <f>INDEX(XOM!$F$2:$F$252,MATCH($A51,XOM!$A$2:$A$252,0))</f>
        <v>115.44</v>
      </c>
      <c r="E51">
        <f>INDEX(PFE!$F$2:$F$252,MATCH($A51,PFE!$A$2:$A$252,0))</f>
        <v>23.87</v>
      </c>
      <c r="F51">
        <f>INDEX(PG!$F$2:$F$252,MATCH($A51,PG!$A$2:$A$252,0))</f>
        <v>148.77000000000001</v>
      </c>
      <c r="G51">
        <f>INDEX('S&amp;P 500'!$F$2:$F$251,MATCH($A51,'S&amp;P 500'!$A$2:$A$251,0))</f>
        <v>6890.59</v>
      </c>
    </row>
    <row r="52" spans="1:7" x14ac:dyDescent="0.3">
      <c r="A52" s="1">
        <v>45958</v>
      </c>
      <c r="B52" s="2">
        <v>110.25</v>
      </c>
      <c r="C52">
        <f>INDEX(V!$F$2:$F$252,MATCH($A52,V!$A$2:$A$252,0))</f>
        <v>346.21</v>
      </c>
      <c r="D52">
        <f>INDEX(XOM!$F$2:$F$252,MATCH($A52,XOM!$A$2:$A$252,0))</f>
        <v>114.03</v>
      </c>
      <c r="E52">
        <f>INDEX(PFE!$F$2:$F$252,MATCH($A52,PFE!$A$2:$A$252,0))</f>
        <v>24.08</v>
      </c>
      <c r="F52">
        <f>INDEX(PG!$F$2:$F$252,MATCH($A52,PG!$A$2:$A$252,0))</f>
        <v>151.37</v>
      </c>
      <c r="G52">
        <f>INDEX('S&amp;P 500'!$F$2:$F$251,MATCH($A52,'S&amp;P 500'!$A$2:$A$251,0))</f>
        <v>6890.89</v>
      </c>
    </row>
    <row r="53" spans="1:7" x14ac:dyDescent="0.3">
      <c r="A53" s="1">
        <v>45957</v>
      </c>
      <c r="B53" s="2">
        <v>109.46</v>
      </c>
      <c r="C53">
        <f>INDEX(V!$F$2:$F$252,MATCH($A53,V!$A$2:$A$252,0))</f>
        <v>347.13</v>
      </c>
      <c r="D53">
        <f>INDEX(XOM!$F$2:$F$252,MATCH($A53,XOM!$A$2:$A$252,0))</f>
        <v>114.93</v>
      </c>
      <c r="E53">
        <f>INDEX(PFE!$F$2:$F$252,MATCH($A53,PFE!$A$2:$A$252,0))</f>
        <v>24.34</v>
      </c>
      <c r="F53">
        <f>INDEX(PG!$F$2:$F$252,MATCH($A53,PG!$A$2:$A$252,0))</f>
        <v>151.74</v>
      </c>
      <c r="G53">
        <f>INDEX('S&amp;P 500'!$F$2:$F$251,MATCH($A53,'S&amp;P 500'!$A$2:$A$251,0))</f>
        <v>6875.16</v>
      </c>
    </row>
    <row r="54" spans="1:7" x14ac:dyDescent="0.3">
      <c r="A54" s="1">
        <v>45954</v>
      </c>
      <c r="B54" s="2">
        <v>109.47</v>
      </c>
      <c r="C54">
        <f>INDEX(V!$F$2:$F$252,MATCH($A54,V!$A$2:$A$252,0))</f>
        <v>346.69</v>
      </c>
      <c r="D54">
        <f>INDEX(XOM!$F$2:$F$252,MATCH($A54,XOM!$A$2:$A$252,0))</f>
        <v>114.39</v>
      </c>
      <c r="E54">
        <f>INDEX(PFE!$F$2:$F$252,MATCH($A54,PFE!$A$2:$A$252,0))</f>
        <v>24.33</v>
      </c>
      <c r="F54">
        <f>INDEX(PG!$F$2:$F$252,MATCH($A54,PG!$A$2:$A$252,0))</f>
        <v>152.49</v>
      </c>
      <c r="G54">
        <f>INDEX('S&amp;P 500'!$F$2:$F$251,MATCH($A54,'S&amp;P 500'!$A$2:$A$251,0))</f>
        <v>6791.69</v>
      </c>
    </row>
    <row r="55" spans="1:7" x14ac:dyDescent="0.3">
      <c r="A55" s="1">
        <v>45953</v>
      </c>
      <c r="B55" s="2">
        <v>111.36</v>
      </c>
      <c r="C55">
        <f>INDEX(V!$F$2:$F$252,MATCH($A55,V!$A$2:$A$252,0))</f>
        <v>345.28</v>
      </c>
      <c r="D55">
        <f>INDEX(XOM!$F$2:$F$252,MATCH($A55,XOM!$A$2:$A$252,0))</f>
        <v>114.97</v>
      </c>
      <c r="E55">
        <f>INDEX(PFE!$F$2:$F$252,MATCH($A55,PFE!$A$2:$A$252,0))</f>
        <v>24.24</v>
      </c>
      <c r="F55">
        <f>INDEX(PG!$F$2:$F$252,MATCH($A55,PG!$A$2:$A$252,0))</f>
        <v>151.15</v>
      </c>
      <c r="G55">
        <f>INDEX('S&amp;P 500'!$F$2:$F$251,MATCH($A55,'S&amp;P 500'!$A$2:$A$251,0))</f>
        <v>6738.44</v>
      </c>
    </row>
    <row r="56" spans="1:7" x14ac:dyDescent="0.3">
      <c r="A56" s="1">
        <v>45952</v>
      </c>
      <c r="B56" s="2">
        <v>111.64</v>
      </c>
      <c r="C56">
        <f>INDEX(V!$F$2:$F$252,MATCH($A56,V!$A$2:$A$252,0))</f>
        <v>344.68</v>
      </c>
      <c r="D56">
        <f>INDEX(XOM!$F$2:$F$252,MATCH($A56,XOM!$A$2:$A$252,0))</f>
        <v>113.72</v>
      </c>
      <c r="E56">
        <f>INDEX(PFE!$F$2:$F$252,MATCH($A56,PFE!$A$2:$A$252,0))</f>
        <v>24.29</v>
      </c>
      <c r="F56">
        <f>INDEX(PG!$F$2:$F$252,MATCH($A56,PG!$A$2:$A$252,0))</f>
        <v>151.13999999999999</v>
      </c>
      <c r="G56">
        <f>INDEX('S&amp;P 500'!$F$2:$F$251,MATCH($A56,'S&amp;P 500'!$A$2:$A$251,0))</f>
        <v>6699.4</v>
      </c>
    </row>
    <row r="57" spans="1:7" x14ac:dyDescent="0.3">
      <c r="A57" s="1">
        <v>45951</v>
      </c>
      <c r="B57" s="2">
        <v>124.14</v>
      </c>
      <c r="C57">
        <f>INDEX(V!$F$2:$F$252,MATCH($A57,V!$A$2:$A$252,0))</f>
        <v>346.52</v>
      </c>
      <c r="D57">
        <f>INDEX(XOM!$F$2:$F$252,MATCH($A57,XOM!$A$2:$A$252,0))</f>
        <v>111.73</v>
      </c>
      <c r="E57">
        <f>INDEX(PFE!$F$2:$F$252,MATCH($A57,PFE!$A$2:$A$252,0))</f>
        <v>24.42</v>
      </c>
      <c r="F57">
        <f>INDEX(PG!$F$2:$F$252,MATCH($A57,PG!$A$2:$A$252,0))</f>
        <v>150.57</v>
      </c>
      <c r="G57">
        <f>INDEX('S&amp;P 500'!$F$2:$F$251,MATCH($A57,'S&amp;P 500'!$A$2:$A$251,0))</f>
        <v>6735.35</v>
      </c>
    </row>
    <row r="58" spans="1:7" x14ac:dyDescent="0.3">
      <c r="A58" s="1">
        <v>45950</v>
      </c>
      <c r="B58" s="2">
        <v>123.86</v>
      </c>
      <c r="C58">
        <f>INDEX(V!$F$2:$F$252,MATCH($A58,V!$A$2:$A$252,0))</f>
        <v>343.73</v>
      </c>
      <c r="D58">
        <f>INDEX(XOM!$F$2:$F$252,MATCH($A58,XOM!$A$2:$A$252,0))</f>
        <v>111.72</v>
      </c>
      <c r="E58">
        <f>INDEX(PFE!$F$2:$F$252,MATCH($A58,PFE!$A$2:$A$252,0))</f>
        <v>24.26</v>
      </c>
      <c r="F58">
        <f>INDEX(PG!$F$2:$F$252,MATCH($A58,PG!$A$2:$A$252,0))</f>
        <v>150.9</v>
      </c>
      <c r="G58">
        <f>INDEX('S&amp;P 500'!$F$2:$F$251,MATCH($A58,'S&amp;P 500'!$A$2:$A$251,0))</f>
        <v>6735.13</v>
      </c>
    </row>
    <row r="59" spans="1:7" x14ac:dyDescent="0.3">
      <c r="A59" s="1">
        <v>45947</v>
      </c>
      <c r="B59" s="2">
        <v>119.94</v>
      </c>
      <c r="C59">
        <f>INDEX(V!$F$2:$F$252,MATCH($A59,V!$A$2:$A$252,0))</f>
        <v>341.21</v>
      </c>
      <c r="D59">
        <f>INDEX(XOM!$F$2:$F$252,MATCH($A59,XOM!$A$2:$A$252,0))</f>
        <v>111.27</v>
      </c>
      <c r="E59">
        <f>INDEX(PFE!$F$2:$F$252,MATCH($A59,PFE!$A$2:$A$252,0))</f>
        <v>24.09</v>
      </c>
      <c r="F59">
        <f>INDEX(PG!$F$2:$F$252,MATCH($A59,PG!$A$2:$A$252,0))</f>
        <v>150.35</v>
      </c>
      <c r="G59">
        <f>INDEX('S&amp;P 500'!$F$2:$F$251,MATCH($A59,'S&amp;P 500'!$A$2:$A$251,0))</f>
        <v>6664.01</v>
      </c>
    </row>
    <row r="60" spans="1:7" x14ac:dyDescent="0.3">
      <c r="A60" s="1">
        <v>45946</v>
      </c>
      <c r="B60" s="2">
        <v>118.36</v>
      </c>
      <c r="C60">
        <f>INDEX(V!$F$2:$F$252,MATCH($A60,V!$A$2:$A$252,0))</f>
        <v>334.74</v>
      </c>
      <c r="D60">
        <f>INDEX(XOM!$F$2:$F$252,MATCH($A60,XOM!$A$2:$A$252,0))</f>
        <v>109.68</v>
      </c>
      <c r="E60">
        <f>INDEX(PFE!$F$2:$F$252,MATCH($A60,PFE!$A$2:$A$252,0))</f>
        <v>23.81</v>
      </c>
      <c r="F60">
        <f>INDEX(PG!$F$2:$F$252,MATCH($A60,PG!$A$2:$A$252,0))</f>
        <v>148.56</v>
      </c>
      <c r="G60">
        <f>INDEX('S&amp;P 500'!$F$2:$F$251,MATCH($A60,'S&amp;P 500'!$A$2:$A$251,0))</f>
        <v>6629.07</v>
      </c>
    </row>
    <row r="61" spans="1:7" x14ac:dyDescent="0.3">
      <c r="A61" s="1">
        <v>45945</v>
      </c>
      <c r="B61" s="2">
        <v>120.33</v>
      </c>
      <c r="C61">
        <f>INDEX(V!$F$2:$F$252,MATCH($A61,V!$A$2:$A$252,0))</f>
        <v>345.01</v>
      </c>
      <c r="D61">
        <f>INDEX(XOM!$F$2:$F$252,MATCH($A61,XOM!$A$2:$A$252,0))</f>
        <v>110.64</v>
      </c>
      <c r="E61">
        <f>INDEX(PFE!$F$2:$F$252,MATCH($A61,PFE!$A$2:$A$252,0))</f>
        <v>23.97</v>
      </c>
      <c r="F61">
        <f>INDEX(PG!$F$2:$F$252,MATCH($A61,PG!$A$2:$A$252,0))</f>
        <v>146.4</v>
      </c>
      <c r="G61">
        <f>INDEX('S&amp;P 500'!$F$2:$F$251,MATCH($A61,'S&amp;P 500'!$A$2:$A$251,0))</f>
        <v>6671.06</v>
      </c>
    </row>
    <row r="62" spans="1:7" x14ac:dyDescent="0.3">
      <c r="A62" s="1">
        <v>45944</v>
      </c>
      <c r="B62" s="2">
        <v>121.54</v>
      </c>
      <c r="C62">
        <f>INDEX(V!$F$2:$F$252,MATCH($A62,V!$A$2:$A$252,0))</f>
        <v>347.69</v>
      </c>
      <c r="D62">
        <f>INDEX(XOM!$F$2:$F$252,MATCH($A62,XOM!$A$2:$A$252,0))</f>
        <v>111.32</v>
      </c>
      <c r="E62">
        <f>INDEX(PFE!$F$2:$F$252,MATCH($A62,PFE!$A$2:$A$252,0))</f>
        <v>24.1</v>
      </c>
      <c r="F62">
        <f>INDEX(PG!$F$2:$F$252,MATCH($A62,PG!$A$2:$A$252,0))</f>
        <v>148.12</v>
      </c>
      <c r="G62">
        <f>INDEX('S&amp;P 500'!$F$2:$F$251,MATCH($A62,'S&amp;P 500'!$A$2:$A$251,0))</f>
        <v>6644.31</v>
      </c>
    </row>
    <row r="63" spans="1:7" x14ac:dyDescent="0.3">
      <c r="A63" s="1">
        <v>45943</v>
      </c>
      <c r="B63" s="2">
        <v>121.9</v>
      </c>
      <c r="C63">
        <f>INDEX(V!$F$2:$F$252,MATCH($A63,V!$A$2:$A$252,0))</f>
        <v>342.62</v>
      </c>
      <c r="D63">
        <f>INDEX(XOM!$F$2:$F$252,MATCH($A63,XOM!$A$2:$A$252,0))</f>
        <v>111.27</v>
      </c>
      <c r="E63">
        <f>INDEX(PFE!$F$2:$F$252,MATCH($A63,PFE!$A$2:$A$252,0))</f>
        <v>24.3</v>
      </c>
      <c r="F63">
        <f>INDEX(PG!$F$2:$F$252,MATCH($A63,PG!$A$2:$A$252,0))</f>
        <v>146.47</v>
      </c>
      <c r="G63">
        <f>INDEX('S&amp;P 500'!$F$2:$F$251,MATCH($A63,'S&amp;P 500'!$A$2:$A$251,0))</f>
        <v>6654.72</v>
      </c>
    </row>
    <row r="64" spans="1:7" x14ac:dyDescent="0.3">
      <c r="A64" s="1">
        <v>45940</v>
      </c>
      <c r="B64" s="2">
        <v>122.01</v>
      </c>
      <c r="C64">
        <f>INDEX(V!$F$2:$F$252,MATCH($A64,V!$A$2:$A$252,0))</f>
        <v>342.97</v>
      </c>
      <c r="D64">
        <f>INDEX(XOM!$F$2:$F$252,MATCH($A64,XOM!$A$2:$A$252,0))</f>
        <v>109.77</v>
      </c>
      <c r="E64">
        <f>INDEX(PFE!$F$2:$F$252,MATCH($A64,PFE!$A$2:$A$252,0))</f>
        <v>24.35</v>
      </c>
      <c r="F64">
        <f>INDEX(PG!$F$2:$F$252,MATCH($A64,PG!$A$2:$A$252,0))</f>
        <v>148.65</v>
      </c>
      <c r="G64">
        <f>INDEX('S&amp;P 500'!$F$2:$F$251,MATCH($A64,'S&amp;P 500'!$A$2:$A$251,0))</f>
        <v>6552.51</v>
      </c>
    </row>
    <row r="65" spans="1:7" x14ac:dyDescent="0.3">
      <c r="A65" s="1">
        <v>45939</v>
      </c>
      <c r="B65" s="2">
        <v>123.11</v>
      </c>
      <c r="C65">
        <f>INDEX(V!$F$2:$F$252,MATCH($A65,V!$A$2:$A$252,0))</f>
        <v>346.35</v>
      </c>
      <c r="D65">
        <f>INDEX(XOM!$F$2:$F$252,MATCH($A65,XOM!$A$2:$A$252,0))</f>
        <v>111.93</v>
      </c>
      <c r="E65">
        <f>INDEX(PFE!$F$2:$F$252,MATCH($A65,PFE!$A$2:$A$252,0))</f>
        <v>24.8</v>
      </c>
      <c r="F65">
        <f>INDEX(PG!$F$2:$F$252,MATCH($A65,PG!$A$2:$A$252,0))</f>
        <v>149.53</v>
      </c>
      <c r="G65">
        <f>INDEX('S&amp;P 500'!$F$2:$F$251,MATCH($A65,'S&amp;P 500'!$A$2:$A$251,0))</f>
        <v>6735.11</v>
      </c>
    </row>
    <row r="66" spans="1:7" x14ac:dyDescent="0.3">
      <c r="A66" s="1">
        <v>45938</v>
      </c>
      <c r="B66" s="2">
        <v>121.43</v>
      </c>
      <c r="C66">
        <f>INDEX(V!$F$2:$F$252,MATCH($A66,V!$A$2:$A$252,0))</f>
        <v>350.67</v>
      </c>
      <c r="D66">
        <f>INDEX(XOM!$F$2:$F$252,MATCH($A66,XOM!$A$2:$A$252,0))</f>
        <v>113.03</v>
      </c>
      <c r="E66">
        <f>INDEX(PFE!$F$2:$F$252,MATCH($A66,PFE!$A$2:$A$252,0))</f>
        <v>25.24</v>
      </c>
      <c r="F66">
        <f>INDEX(PG!$F$2:$F$252,MATCH($A66,PG!$A$2:$A$252,0))</f>
        <v>149.63999999999999</v>
      </c>
      <c r="G66">
        <f>INDEX('S&amp;P 500'!$F$2:$F$251,MATCH($A66,'S&amp;P 500'!$A$2:$A$251,0))</f>
        <v>6753.72</v>
      </c>
    </row>
    <row r="67" spans="1:7" x14ac:dyDescent="0.3">
      <c r="A67" s="1">
        <v>45937</v>
      </c>
      <c r="B67" s="2">
        <v>119.11</v>
      </c>
      <c r="C67">
        <f>INDEX(V!$F$2:$F$252,MATCH($A67,V!$A$2:$A$252,0))</f>
        <v>351.72</v>
      </c>
      <c r="D67">
        <f>INDEX(XOM!$F$2:$F$252,MATCH($A67,XOM!$A$2:$A$252,0))</f>
        <v>113.27</v>
      </c>
      <c r="E67">
        <f>INDEX(PFE!$F$2:$F$252,MATCH($A67,PFE!$A$2:$A$252,0))</f>
        <v>25.82</v>
      </c>
      <c r="F67">
        <f>INDEX(PG!$F$2:$F$252,MATCH($A67,PG!$A$2:$A$252,0))</f>
        <v>151.47999999999999</v>
      </c>
      <c r="G67">
        <f>INDEX('S&amp;P 500'!$F$2:$F$251,MATCH($A67,'S&amp;P 500'!$A$2:$A$251,0))</f>
        <v>6714.59</v>
      </c>
    </row>
    <row r="68" spans="1:7" x14ac:dyDescent="0.3">
      <c r="A68" s="1">
        <v>45936</v>
      </c>
      <c r="B68" s="2">
        <v>116.33</v>
      </c>
      <c r="C68">
        <f>INDEX(V!$F$2:$F$252,MATCH($A68,V!$A$2:$A$252,0))</f>
        <v>348.59</v>
      </c>
      <c r="D68">
        <f>INDEX(XOM!$F$2:$F$252,MATCH($A68,XOM!$A$2:$A$252,0))</f>
        <v>113.21</v>
      </c>
      <c r="E68">
        <f>INDEX(PFE!$F$2:$F$252,MATCH($A68,PFE!$A$2:$A$252,0))</f>
        <v>25.97</v>
      </c>
      <c r="F68">
        <f>INDEX(PG!$F$2:$F$252,MATCH($A68,PG!$A$2:$A$252,0))</f>
        <v>149.37</v>
      </c>
      <c r="G68">
        <f>INDEX('S&amp;P 500'!$F$2:$F$251,MATCH($A68,'S&amp;P 500'!$A$2:$A$251,0))</f>
        <v>6740.28</v>
      </c>
    </row>
    <row r="69" spans="1:7" x14ac:dyDescent="0.3">
      <c r="A69" s="1">
        <v>45933</v>
      </c>
      <c r="B69" s="2">
        <v>115.33</v>
      </c>
      <c r="C69">
        <f>INDEX(V!$F$2:$F$252,MATCH($A69,V!$A$2:$A$252,0))</f>
        <v>349.15</v>
      </c>
      <c r="D69">
        <f>INDEX(XOM!$F$2:$F$252,MATCH($A69,XOM!$A$2:$A$252,0))</f>
        <v>112.28</v>
      </c>
      <c r="E69">
        <f>INDEX(PFE!$F$2:$F$252,MATCH($A69,PFE!$A$2:$A$252,0))</f>
        <v>26.9</v>
      </c>
      <c r="F69">
        <f>INDEX(PG!$F$2:$F$252,MATCH($A69,PG!$A$2:$A$252,0))</f>
        <v>151.21</v>
      </c>
      <c r="G69">
        <f>INDEX('S&amp;P 500'!$F$2:$F$251,MATCH($A69,'S&amp;P 500'!$A$2:$A$251,0))</f>
        <v>6715.79</v>
      </c>
    </row>
    <row r="70" spans="1:7" x14ac:dyDescent="0.3">
      <c r="A70" s="1">
        <v>45932</v>
      </c>
      <c r="B70" s="2">
        <v>116.25</v>
      </c>
      <c r="C70">
        <f>INDEX(V!$F$2:$F$252,MATCH($A70,V!$A$2:$A$252,0))</f>
        <v>345.27</v>
      </c>
      <c r="D70">
        <f>INDEX(XOM!$F$2:$F$252,MATCH($A70,XOM!$A$2:$A$252,0))</f>
        <v>110.33</v>
      </c>
      <c r="E70">
        <f>INDEX(PFE!$F$2:$F$252,MATCH($A70,PFE!$A$2:$A$252,0))</f>
        <v>26.61</v>
      </c>
      <c r="F70">
        <f>INDEX(PG!$F$2:$F$252,MATCH($A70,PG!$A$2:$A$252,0))</f>
        <v>150.99</v>
      </c>
      <c r="G70">
        <f>INDEX('S&amp;P 500'!$F$2:$F$251,MATCH($A70,'S&amp;P 500'!$A$2:$A$251,0))</f>
        <v>6715.35</v>
      </c>
    </row>
    <row r="71" spans="1:7" x14ac:dyDescent="0.3">
      <c r="A71" s="1">
        <v>45931</v>
      </c>
      <c r="B71" s="2">
        <v>117.09</v>
      </c>
      <c r="C71">
        <f>INDEX(V!$F$2:$F$252,MATCH($A71,V!$A$2:$A$252,0))</f>
        <v>347.14</v>
      </c>
      <c r="D71">
        <f>INDEX(XOM!$F$2:$F$252,MATCH($A71,XOM!$A$2:$A$252,0))</f>
        <v>111.02</v>
      </c>
      <c r="E71">
        <f>INDEX(PFE!$F$2:$F$252,MATCH($A71,PFE!$A$2:$A$252,0))</f>
        <v>26.74</v>
      </c>
      <c r="F71">
        <f>INDEX(PG!$F$2:$F$252,MATCH($A71,PG!$A$2:$A$252,0))</f>
        <v>152.12</v>
      </c>
      <c r="G71">
        <f>INDEX('S&amp;P 500'!$F$2:$F$251,MATCH($A71,'S&amp;P 500'!$A$2:$A$251,0))</f>
        <v>6711.2</v>
      </c>
    </row>
    <row r="72" spans="1:7" x14ac:dyDescent="0.3">
      <c r="A72" s="1">
        <v>45930</v>
      </c>
      <c r="B72" s="2">
        <v>119.89</v>
      </c>
      <c r="C72">
        <f>INDEX(V!$F$2:$F$252,MATCH($A72,V!$A$2:$A$252,0))</f>
        <v>340.71</v>
      </c>
      <c r="D72">
        <f>INDEX(XOM!$F$2:$F$252,MATCH($A72,XOM!$A$2:$A$252,0))</f>
        <v>111.77</v>
      </c>
      <c r="E72">
        <f>INDEX(PFE!$F$2:$F$252,MATCH($A72,PFE!$A$2:$A$252,0))</f>
        <v>25.04</v>
      </c>
      <c r="F72">
        <f>INDEX(PG!$F$2:$F$252,MATCH($A72,PG!$A$2:$A$252,0))</f>
        <v>152.58000000000001</v>
      </c>
      <c r="G72">
        <f>INDEX('S&amp;P 500'!$F$2:$F$251,MATCH($A72,'S&amp;P 500'!$A$2:$A$251,0))</f>
        <v>6688.46</v>
      </c>
    </row>
    <row r="73" spans="1:7" x14ac:dyDescent="0.3">
      <c r="A73" s="1">
        <v>45929</v>
      </c>
      <c r="B73" s="2">
        <v>120.64</v>
      </c>
      <c r="C73">
        <f>INDEX(V!$F$2:$F$252,MATCH($A73,V!$A$2:$A$252,0))</f>
        <v>339.49</v>
      </c>
      <c r="D73">
        <f>INDEX(XOM!$F$2:$F$252,MATCH($A73,XOM!$A$2:$A$252,0))</f>
        <v>113.23</v>
      </c>
      <c r="E73">
        <f>INDEX(PFE!$F$2:$F$252,MATCH($A73,PFE!$A$2:$A$252,0))</f>
        <v>23.44</v>
      </c>
      <c r="F73">
        <f>INDEX(PG!$F$2:$F$252,MATCH($A73,PG!$A$2:$A$252,0))</f>
        <v>152.46</v>
      </c>
      <c r="G73">
        <f>INDEX('S&amp;P 500'!$F$2:$F$251,MATCH($A73,'S&amp;P 500'!$A$2:$A$251,0))</f>
        <v>6661.21</v>
      </c>
    </row>
    <row r="74" spans="1:7" x14ac:dyDescent="0.3">
      <c r="A74" s="1">
        <v>45926</v>
      </c>
      <c r="B74" s="2">
        <v>121.06</v>
      </c>
      <c r="C74">
        <f>INDEX(V!$F$2:$F$252,MATCH($A74,V!$A$2:$A$252,0))</f>
        <v>336.7</v>
      </c>
      <c r="D74">
        <f>INDEX(XOM!$F$2:$F$252,MATCH($A74,XOM!$A$2:$A$252,0))</f>
        <v>116.2</v>
      </c>
      <c r="E74">
        <f>INDEX(PFE!$F$2:$F$252,MATCH($A74,PFE!$A$2:$A$252,0))</f>
        <v>23.35</v>
      </c>
      <c r="F74">
        <f>INDEX(PG!$F$2:$F$252,MATCH($A74,PG!$A$2:$A$252,0))</f>
        <v>151.44</v>
      </c>
      <c r="G74">
        <f>INDEX('S&amp;P 500'!$F$2:$F$251,MATCH($A74,'S&amp;P 500'!$A$2:$A$251,0))</f>
        <v>6643.7</v>
      </c>
    </row>
    <row r="75" spans="1:7" x14ac:dyDescent="0.3">
      <c r="A75" s="1">
        <v>45925</v>
      </c>
      <c r="B75" s="2">
        <v>120.82</v>
      </c>
      <c r="C75">
        <f>INDEX(V!$F$2:$F$252,MATCH($A75,V!$A$2:$A$252,0))</f>
        <v>334.27</v>
      </c>
      <c r="D75">
        <f>INDEX(XOM!$F$2:$F$252,MATCH($A75,XOM!$A$2:$A$252,0))</f>
        <v>114.59</v>
      </c>
      <c r="E75">
        <f>INDEX(PFE!$F$2:$F$252,MATCH($A75,PFE!$A$2:$A$252,0))</f>
        <v>23.19</v>
      </c>
      <c r="F75">
        <f>INDEX(PG!$F$2:$F$252,MATCH($A75,PG!$A$2:$A$252,0))</f>
        <v>151.09</v>
      </c>
      <c r="G75">
        <f>INDEX('S&amp;P 500'!$F$2:$F$251,MATCH($A75,'S&amp;P 500'!$A$2:$A$251,0))</f>
        <v>6604.72</v>
      </c>
    </row>
    <row r="76" spans="1:7" x14ac:dyDescent="0.3">
      <c r="A76" s="1">
        <v>45924</v>
      </c>
      <c r="B76" s="2">
        <v>120.39</v>
      </c>
      <c r="C76">
        <f>INDEX(V!$F$2:$F$252,MATCH($A76,V!$A$2:$A$252,0))</f>
        <v>338.01</v>
      </c>
      <c r="D76">
        <f>INDEX(XOM!$F$2:$F$252,MATCH($A76,XOM!$A$2:$A$252,0))</f>
        <v>113.57</v>
      </c>
      <c r="E76">
        <f>INDEX(PFE!$F$2:$F$252,MATCH($A76,PFE!$A$2:$A$252,0))</f>
        <v>23.67</v>
      </c>
      <c r="F76">
        <f>INDEX(PG!$F$2:$F$252,MATCH($A76,PG!$A$2:$A$252,0))</f>
        <v>151.36000000000001</v>
      </c>
      <c r="G76">
        <f>INDEX('S&amp;P 500'!$F$2:$F$251,MATCH($A76,'S&amp;P 500'!$A$2:$A$251,0))</f>
        <v>6637.97</v>
      </c>
    </row>
    <row r="77" spans="1:7" x14ac:dyDescent="0.3">
      <c r="A77" s="1">
        <v>45923</v>
      </c>
      <c r="B77" s="2">
        <v>121.85</v>
      </c>
      <c r="C77">
        <f>INDEX(V!$F$2:$F$252,MATCH($A77,V!$A$2:$A$252,0))</f>
        <v>338.03</v>
      </c>
      <c r="D77">
        <f>INDEX(XOM!$F$2:$F$252,MATCH($A77,XOM!$A$2:$A$252,0))</f>
        <v>112.96</v>
      </c>
      <c r="E77">
        <f>INDEX(PFE!$F$2:$F$252,MATCH($A77,PFE!$A$2:$A$252,0))</f>
        <v>23.71</v>
      </c>
      <c r="F77">
        <f>INDEX(PG!$F$2:$F$252,MATCH($A77,PG!$A$2:$A$252,0))</f>
        <v>151.44</v>
      </c>
      <c r="G77">
        <f>INDEX('S&amp;P 500'!$F$2:$F$251,MATCH($A77,'S&amp;P 500'!$A$2:$A$251,0))</f>
        <v>6656.92</v>
      </c>
    </row>
    <row r="78" spans="1:7" x14ac:dyDescent="0.3">
      <c r="A78" s="1">
        <v>45922</v>
      </c>
      <c r="B78" s="2">
        <v>122.74</v>
      </c>
      <c r="C78">
        <f>INDEX(V!$F$2:$F$252,MATCH($A78,V!$A$2:$A$252,0))</f>
        <v>343.68</v>
      </c>
      <c r="D78">
        <f>INDEX(XOM!$F$2:$F$252,MATCH($A78,XOM!$A$2:$A$252,0))</f>
        <v>111.05</v>
      </c>
      <c r="E78">
        <f>INDEX(PFE!$F$2:$F$252,MATCH($A78,PFE!$A$2:$A$252,0))</f>
        <v>23.62</v>
      </c>
      <c r="F78">
        <f>INDEX(PG!$F$2:$F$252,MATCH($A78,PG!$A$2:$A$252,0))</f>
        <v>152.01</v>
      </c>
      <c r="G78">
        <f>INDEX('S&amp;P 500'!$F$2:$F$251,MATCH($A78,'S&amp;P 500'!$A$2:$A$251,0))</f>
        <v>6693.75</v>
      </c>
    </row>
    <row r="79" spans="1:7" x14ac:dyDescent="0.3">
      <c r="A79" s="1">
        <v>45919</v>
      </c>
      <c r="B79" s="2">
        <v>122.7</v>
      </c>
      <c r="C79">
        <f>INDEX(V!$F$2:$F$252,MATCH($A79,V!$A$2:$A$252,0))</f>
        <v>340.93</v>
      </c>
      <c r="D79">
        <f>INDEX(XOM!$F$2:$F$252,MATCH($A79,XOM!$A$2:$A$252,0))</f>
        <v>111.84</v>
      </c>
      <c r="E79">
        <f>INDEX(PFE!$F$2:$F$252,MATCH($A79,PFE!$A$2:$A$252,0))</f>
        <v>23.61</v>
      </c>
      <c r="F79">
        <f>INDEX(PG!$F$2:$F$252,MATCH($A79,PG!$A$2:$A$252,0))</f>
        <v>154.96</v>
      </c>
      <c r="G79">
        <f>INDEX('S&amp;P 500'!$F$2:$F$251,MATCH($A79,'S&amp;P 500'!$A$2:$A$251,0))</f>
        <v>6664.36</v>
      </c>
    </row>
    <row r="80" spans="1:7" x14ac:dyDescent="0.3">
      <c r="A80" s="1">
        <v>45918</v>
      </c>
      <c r="B80" s="2">
        <v>120.78</v>
      </c>
      <c r="C80">
        <f>INDEX(V!$F$2:$F$252,MATCH($A80,V!$A$2:$A$252,0))</f>
        <v>337.51</v>
      </c>
      <c r="D80">
        <f>INDEX(XOM!$F$2:$F$252,MATCH($A80,XOM!$A$2:$A$252,0))</f>
        <v>112.94</v>
      </c>
      <c r="E80">
        <f>INDEX(PFE!$F$2:$F$252,MATCH($A80,PFE!$A$2:$A$252,0))</f>
        <v>23.73</v>
      </c>
      <c r="F80">
        <f>INDEX(PG!$F$2:$F$252,MATCH($A80,PG!$A$2:$A$252,0))</f>
        <v>156.22999999999999</v>
      </c>
      <c r="G80">
        <f>INDEX('S&amp;P 500'!$F$2:$F$251,MATCH($A80,'S&amp;P 500'!$A$2:$A$251,0))</f>
        <v>6631.96</v>
      </c>
    </row>
    <row r="81" spans="1:7" x14ac:dyDescent="0.3">
      <c r="A81" s="1">
        <v>45917</v>
      </c>
      <c r="B81" s="2">
        <v>122.85</v>
      </c>
      <c r="C81">
        <f>INDEX(V!$F$2:$F$252,MATCH($A81,V!$A$2:$A$252,0))</f>
        <v>345.52</v>
      </c>
      <c r="D81">
        <f>INDEX(XOM!$F$2:$F$252,MATCH($A81,XOM!$A$2:$A$252,0))</f>
        <v>114.29</v>
      </c>
      <c r="E81">
        <f>INDEX(PFE!$F$2:$F$252,MATCH($A81,PFE!$A$2:$A$252,0))</f>
        <v>23.63</v>
      </c>
      <c r="F81">
        <f>INDEX(PG!$F$2:$F$252,MATCH($A81,PG!$A$2:$A$252,0))</f>
        <v>159.22</v>
      </c>
      <c r="G81">
        <f>INDEX('S&amp;P 500'!$F$2:$F$251,MATCH($A81,'S&amp;P 500'!$A$2:$A$251,0))</f>
        <v>6600.35</v>
      </c>
    </row>
    <row r="82" spans="1:7" x14ac:dyDescent="0.3">
      <c r="A82" s="1">
        <v>45916</v>
      </c>
      <c r="B82" s="2">
        <v>120.05</v>
      </c>
      <c r="C82">
        <f>INDEX(V!$F$2:$F$252,MATCH($A82,V!$A$2:$A$252,0))</f>
        <v>339.36</v>
      </c>
      <c r="D82">
        <f>INDEX(XOM!$F$2:$F$252,MATCH($A82,XOM!$A$2:$A$252,0))</f>
        <v>113.69</v>
      </c>
      <c r="E82">
        <f>INDEX(PFE!$F$2:$F$252,MATCH($A82,PFE!$A$2:$A$252,0))</f>
        <v>23.49</v>
      </c>
      <c r="F82">
        <f>INDEX(PG!$F$2:$F$252,MATCH($A82,PG!$A$2:$A$252,0))</f>
        <v>156.94999999999999</v>
      </c>
      <c r="G82">
        <f>INDEX('S&amp;P 500'!$F$2:$F$251,MATCH($A82,'S&amp;P 500'!$A$2:$A$251,0))</f>
        <v>6606.76</v>
      </c>
    </row>
    <row r="83" spans="1:7" x14ac:dyDescent="0.3">
      <c r="A83" s="1">
        <v>45915</v>
      </c>
      <c r="B83" s="2">
        <v>120.23</v>
      </c>
      <c r="C83">
        <f>INDEX(V!$F$2:$F$252,MATCH($A83,V!$A$2:$A$252,0))</f>
        <v>338.38</v>
      </c>
      <c r="D83">
        <f>INDEX(XOM!$F$2:$F$252,MATCH($A83,XOM!$A$2:$A$252,0))</f>
        <v>111.38</v>
      </c>
      <c r="E83">
        <f>INDEX(PFE!$F$2:$F$252,MATCH($A83,PFE!$A$2:$A$252,0))</f>
        <v>23.56</v>
      </c>
      <c r="F83">
        <f>INDEX(PG!$F$2:$F$252,MATCH($A83,PG!$A$2:$A$252,0))</f>
        <v>155.74</v>
      </c>
      <c r="G83">
        <f>INDEX('S&amp;P 500'!$F$2:$F$251,MATCH($A83,'S&amp;P 500'!$A$2:$A$251,0))</f>
        <v>6615.28</v>
      </c>
    </row>
    <row r="84" spans="1:7" x14ac:dyDescent="0.3">
      <c r="A84" s="1">
        <v>45912</v>
      </c>
      <c r="B84" s="2">
        <v>118.84</v>
      </c>
      <c r="C84">
        <f>INDEX(V!$F$2:$F$252,MATCH($A84,V!$A$2:$A$252,0))</f>
        <v>338.76</v>
      </c>
      <c r="D84">
        <f>INDEX(XOM!$F$2:$F$252,MATCH($A84,XOM!$A$2:$A$252,0))</f>
        <v>111.19</v>
      </c>
      <c r="E84">
        <f>INDEX(PFE!$F$2:$F$252,MATCH($A84,PFE!$A$2:$A$252,0))</f>
        <v>23.46</v>
      </c>
      <c r="F84">
        <f>INDEX(PG!$F$2:$F$252,MATCH($A84,PG!$A$2:$A$252,0))</f>
        <v>156.80000000000001</v>
      </c>
      <c r="G84">
        <f>INDEX('S&amp;P 500'!$F$2:$F$251,MATCH($A84,'S&amp;P 500'!$A$2:$A$251,0))</f>
        <v>6584.29</v>
      </c>
    </row>
    <row r="85" spans="1:7" x14ac:dyDescent="0.3">
      <c r="A85" s="1">
        <v>45911</v>
      </c>
      <c r="B85" s="2">
        <v>120.35</v>
      </c>
      <c r="C85">
        <f>INDEX(V!$F$2:$F$252,MATCH($A85,V!$A$2:$A$252,0))</f>
        <v>342.81</v>
      </c>
      <c r="D85">
        <f>INDEX(XOM!$F$2:$F$252,MATCH($A85,XOM!$A$2:$A$252,0))</f>
        <v>111.17</v>
      </c>
      <c r="E85">
        <f>INDEX(PFE!$F$2:$F$252,MATCH($A85,PFE!$A$2:$A$252,0))</f>
        <v>24.43</v>
      </c>
      <c r="F85">
        <f>INDEX(PG!$F$2:$F$252,MATCH($A85,PG!$A$2:$A$252,0))</f>
        <v>157.53</v>
      </c>
      <c r="G85">
        <f>INDEX('S&amp;P 500'!$F$2:$F$251,MATCH($A85,'S&amp;P 500'!$A$2:$A$251,0))</f>
        <v>6587.47</v>
      </c>
    </row>
    <row r="86" spans="1:7" x14ac:dyDescent="0.3">
      <c r="A86" s="1">
        <v>45910</v>
      </c>
      <c r="B86" s="2">
        <v>124.77</v>
      </c>
      <c r="C86">
        <f>INDEX(V!$F$2:$F$252,MATCH($A86,V!$A$2:$A$252,0))</f>
        <v>337.45</v>
      </c>
      <c r="D86">
        <f>INDEX(XOM!$F$2:$F$252,MATCH($A86,XOM!$A$2:$A$252,0))</f>
        <v>111.52</v>
      </c>
      <c r="E86">
        <f>INDEX(PFE!$F$2:$F$252,MATCH($A86,PFE!$A$2:$A$252,0))</f>
        <v>24.14</v>
      </c>
      <c r="F86">
        <f>INDEX(PG!$F$2:$F$252,MATCH($A86,PG!$A$2:$A$252,0))</f>
        <v>156.26</v>
      </c>
      <c r="G86">
        <f>INDEX('S&amp;P 500'!$F$2:$F$251,MATCH($A86,'S&amp;P 500'!$A$2:$A$251,0))</f>
        <v>6532.04</v>
      </c>
    </row>
    <row r="87" spans="1:7" x14ac:dyDescent="0.3">
      <c r="A87" s="1">
        <v>45909</v>
      </c>
      <c r="B87" s="2">
        <v>126.32</v>
      </c>
      <c r="C87">
        <f>INDEX(V!$F$2:$F$252,MATCH($A87,V!$A$2:$A$252,0))</f>
        <v>343.31</v>
      </c>
      <c r="D87">
        <f>INDEX(XOM!$F$2:$F$252,MATCH($A87,XOM!$A$2:$A$252,0))</f>
        <v>109.69</v>
      </c>
      <c r="E87">
        <f>INDEX(PFE!$F$2:$F$252,MATCH($A87,PFE!$A$2:$A$252,0))</f>
        <v>24.28</v>
      </c>
      <c r="F87">
        <f>INDEX(PG!$F$2:$F$252,MATCH($A87,PG!$A$2:$A$252,0))</f>
        <v>158.35</v>
      </c>
      <c r="G87">
        <f>INDEX('S&amp;P 500'!$F$2:$F$251,MATCH($A87,'S&amp;P 500'!$A$2:$A$251,0))</f>
        <v>6512.61</v>
      </c>
    </row>
    <row r="88" spans="1:7" x14ac:dyDescent="0.3">
      <c r="A88" s="1">
        <v>45908</v>
      </c>
      <c r="B88" s="2">
        <v>124.48</v>
      </c>
      <c r="C88">
        <f>INDEX(V!$F$2:$F$252,MATCH($A88,V!$A$2:$A$252,0))</f>
        <v>341.62</v>
      </c>
      <c r="D88">
        <f>INDEX(XOM!$F$2:$F$252,MATCH($A88,XOM!$A$2:$A$252,0))</f>
        <v>108.9</v>
      </c>
      <c r="E88">
        <f>INDEX(PFE!$F$2:$F$252,MATCH($A88,PFE!$A$2:$A$252,0))</f>
        <v>24.13</v>
      </c>
      <c r="F88">
        <f>INDEX(PG!$F$2:$F$252,MATCH($A88,PG!$A$2:$A$252,0))</f>
        <v>157.91</v>
      </c>
      <c r="G88">
        <f>INDEX('S&amp;P 500'!$F$2:$F$251,MATCH($A88,'S&amp;P 500'!$A$2:$A$251,0))</f>
        <v>6495.15</v>
      </c>
    </row>
    <row r="89" spans="1:7" x14ac:dyDescent="0.3">
      <c r="A89" s="1">
        <v>45905</v>
      </c>
      <c r="B89" s="2">
        <v>124.38</v>
      </c>
      <c r="C89">
        <f>INDEX(V!$F$2:$F$252,MATCH($A89,V!$A$2:$A$252,0))</f>
        <v>342.54</v>
      </c>
      <c r="D89">
        <f>INDEX(XOM!$F$2:$F$252,MATCH($A89,XOM!$A$2:$A$252,0))</f>
        <v>108.28</v>
      </c>
      <c r="E89">
        <f>INDEX(PFE!$F$2:$F$252,MATCH($A89,PFE!$A$2:$A$252,0))</f>
        <v>24.45</v>
      </c>
      <c r="F89">
        <f>INDEX(PG!$F$2:$F$252,MATCH($A89,PG!$A$2:$A$252,0))</f>
        <v>158.91</v>
      </c>
      <c r="G89">
        <f>INDEX('S&amp;P 500'!$F$2:$F$251,MATCH($A89,'S&amp;P 500'!$A$2:$A$251,0))</f>
        <v>6481.5</v>
      </c>
    </row>
    <row r="90" spans="1:7" x14ac:dyDescent="0.3">
      <c r="A90" s="1">
        <v>45904</v>
      </c>
      <c r="B90" s="2">
        <v>125.75</v>
      </c>
      <c r="C90">
        <f>INDEX(V!$F$2:$F$252,MATCH($A90,V!$A$2:$A$252,0))</f>
        <v>350.3</v>
      </c>
      <c r="D90">
        <f>INDEX(XOM!$F$2:$F$252,MATCH($A90,XOM!$A$2:$A$252,0))</f>
        <v>111.43</v>
      </c>
      <c r="E90">
        <f>INDEX(PFE!$F$2:$F$252,MATCH($A90,PFE!$A$2:$A$252,0))</f>
        <v>24.12</v>
      </c>
      <c r="F90">
        <f>INDEX(PG!$F$2:$F$252,MATCH($A90,PG!$A$2:$A$252,0))</f>
        <v>158.08000000000001</v>
      </c>
      <c r="G90">
        <f>INDEX('S&amp;P 500'!$F$2:$F$251,MATCH($A90,'S&amp;P 500'!$A$2:$A$251,0))</f>
        <v>6502.08</v>
      </c>
    </row>
    <row r="91" spans="1:7" x14ac:dyDescent="0.3">
      <c r="A91" s="1">
        <v>45903</v>
      </c>
      <c r="B91" s="2">
        <v>122.62</v>
      </c>
      <c r="C91">
        <f>INDEX(V!$F$2:$F$252,MATCH($A91,V!$A$2:$A$252,0))</f>
        <v>350.18</v>
      </c>
      <c r="D91">
        <f>INDEX(XOM!$F$2:$F$252,MATCH($A91,XOM!$A$2:$A$252,0))</f>
        <v>110.94</v>
      </c>
      <c r="E91">
        <f>INDEX(PFE!$F$2:$F$252,MATCH($A91,PFE!$A$2:$A$252,0))</f>
        <v>24.36</v>
      </c>
      <c r="F91">
        <f>INDEX(PG!$F$2:$F$252,MATCH($A91,PG!$A$2:$A$252,0))</f>
        <v>157.07</v>
      </c>
      <c r="G91">
        <f>INDEX('S&amp;P 500'!$F$2:$F$251,MATCH($A91,'S&amp;P 500'!$A$2:$A$251,0))</f>
        <v>6448.26</v>
      </c>
    </row>
    <row r="92" spans="1:7" x14ac:dyDescent="0.3">
      <c r="A92" s="1">
        <v>45902</v>
      </c>
      <c r="B92" s="2">
        <v>121.41</v>
      </c>
      <c r="C92">
        <f>INDEX(V!$F$2:$F$252,MATCH($A92,V!$A$2:$A$252,0))</f>
        <v>349.38</v>
      </c>
      <c r="D92">
        <f>INDEX(XOM!$F$2:$F$252,MATCH($A92,XOM!$A$2:$A$252,0))</f>
        <v>113.7</v>
      </c>
      <c r="E92">
        <f>INDEX(PFE!$F$2:$F$252,MATCH($A92,PFE!$A$2:$A$252,0))</f>
        <v>24.55</v>
      </c>
      <c r="F92">
        <f>INDEX(PG!$F$2:$F$252,MATCH($A92,PG!$A$2:$A$252,0))</f>
        <v>156.88999999999999</v>
      </c>
      <c r="G92">
        <f>INDEX('S&amp;P 500'!$F$2:$F$251,MATCH($A92,'S&amp;P 500'!$A$2:$A$251,0))</f>
        <v>6415.54</v>
      </c>
    </row>
    <row r="93" spans="1:7" x14ac:dyDescent="0.3">
      <c r="A93" s="1">
        <v>45898</v>
      </c>
      <c r="B93" s="2">
        <v>120.82</v>
      </c>
      <c r="C93">
        <f>INDEX(V!$F$2:$F$252,MATCH($A93,V!$A$2:$A$252,0))</f>
        <v>351.08</v>
      </c>
      <c r="D93">
        <f>INDEX(XOM!$F$2:$F$252,MATCH($A93,XOM!$A$2:$A$252,0))</f>
        <v>113.3</v>
      </c>
      <c r="E93">
        <f>INDEX(PFE!$F$2:$F$252,MATCH($A93,PFE!$A$2:$A$252,0))</f>
        <v>24.33</v>
      </c>
      <c r="F93">
        <f>INDEX(PG!$F$2:$F$252,MATCH($A93,PG!$A$2:$A$252,0))</f>
        <v>155.94999999999999</v>
      </c>
      <c r="G93">
        <f>INDEX('S&amp;P 500'!$F$2:$F$251,MATCH($A93,'S&amp;P 500'!$A$2:$A$251,0))</f>
        <v>6460.26</v>
      </c>
    </row>
    <row r="94" spans="1:7" x14ac:dyDescent="0.3">
      <c r="A94" s="1">
        <v>45897</v>
      </c>
      <c r="B94" s="2">
        <v>123.14</v>
      </c>
      <c r="C94">
        <f>INDEX(V!$F$2:$F$252,MATCH($A94,V!$A$2:$A$252,0))</f>
        <v>349.17</v>
      </c>
      <c r="D94">
        <f>INDEX(XOM!$F$2:$F$252,MATCH($A94,XOM!$A$2:$A$252,0))</f>
        <v>112.37</v>
      </c>
      <c r="E94">
        <f>INDEX(PFE!$F$2:$F$252,MATCH($A94,PFE!$A$2:$A$252,0))</f>
        <v>24.17</v>
      </c>
      <c r="F94">
        <f>INDEX(PG!$F$2:$F$252,MATCH($A94,PG!$A$2:$A$252,0))</f>
        <v>154.57</v>
      </c>
      <c r="G94">
        <f>INDEX('S&amp;P 500'!$F$2:$F$251,MATCH($A94,'S&amp;P 500'!$A$2:$A$251,0))</f>
        <v>6501.86</v>
      </c>
    </row>
    <row r="95" spans="1:7" x14ac:dyDescent="0.3">
      <c r="A95" s="1">
        <v>45896</v>
      </c>
      <c r="B95" s="2">
        <v>122.35</v>
      </c>
      <c r="C95">
        <f>INDEX(V!$F$2:$F$252,MATCH($A95,V!$A$2:$A$252,0))</f>
        <v>349.66</v>
      </c>
      <c r="D95">
        <f>INDEX(XOM!$F$2:$F$252,MATCH($A95,XOM!$A$2:$A$252,0))</f>
        <v>111.77</v>
      </c>
      <c r="E95">
        <f>INDEX(PFE!$F$2:$F$252,MATCH($A95,PFE!$A$2:$A$252,0))</f>
        <v>24.64</v>
      </c>
      <c r="F95">
        <f>INDEX(PG!$F$2:$F$252,MATCH($A95,PG!$A$2:$A$252,0))</f>
        <v>155.87</v>
      </c>
      <c r="G95">
        <f>INDEX('S&amp;P 500'!$F$2:$F$251,MATCH($A95,'S&amp;P 500'!$A$2:$A$251,0))</f>
        <v>6481.4</v>
      </c>
    </row>
    <row r="96" spans="1:7" x14ac:dyDescent="0.3">
      <c r="A96" s="1">
        <v>45895</v>
      </c>
      <c r="B96" s="2">
        <v>122.61</v>
      </c>
      <c r="C96">
        <f>INDEX(V!$F$2:$F$252,MATCH($A96,V!$A$2:$A$252,0))</f>
        <v>350.49</v>
      </c>
      <c r="D96">
        <f>INDEX(XOM!$F$2:$F$252,MATCH($A96,XOM!$A$2:$A$252,0))</f>
        <v>110.52</v>
      </c>
      <c r="E96">
        <f>INDEX(PFE!$F$2:$F$252,MATCH($A96,PFE!$A$2:$A$252,0))</f>
        <v>24.49</v>
      </c>
      <c r="F96">
        <f>INDEX(PG!$F$2:$F$252,MATCH($A96,PG!$A$2:$A$252,0))</f>
        <v>154.88999999999999</v>
      </c>
      <c r="G96">
        <f>INDEX('S&amp;P 500'!$F$2:$F$251,MATCH($A96,'S&amp;P 500'!$A$2:$A$251,0))</f>
        <v>6465.94</v>
      </c>
    </row>
    <row r="97" spans="1:7" x14ac:dyDescent="0.3">
      <c r="A97" s="1">
        <v>45894</v>
      </c>
      <c r="B97" s="2">
        <v>121.81</v>
      </c>
      <c r="C97">
        <f>INDEX(V!$F$2:$F$252,MATCH($A97,V!$A$2:$A$252,0))</f>
        <v>348.13</v>
      </c>
      <c r="D97">
        <f>INDEX(XOM!$F$2:$F$252,MATCH($A97,XOM!$A$2:$A$252,0))</f>
        <v>110.77</v>
      </c>
      <c r="E97">
        <f>INDEX(PFE!$F$2:$F$252,MATCH($A97,PFE!$A$2:$A$252,0))</f>
        <v>24.7</v>
      </c>
      <c r="F97">
        <f>INDEX(PG!$F$2:$F$252,MATCH($A97,PG!$A$2:$A$252,0))</f>
        <v>155.07</v>
      </c>
      <c r="G97">
        <f>INDEX('S&amp;P 500'!$F$2:$F$251,MATCH($A97,'S&amp;P 500'!$A$2:$A$251,0))</f>
        <v>6439.32</v>
      </c>
    </row>
    <row r="98" spans="1:7" x14ac:dyDescent="0.3">
      <c r="A98" s="1">
        <v>45891</v>
      </c>
      <c r="B98" s="2">
        <v>120.46</v>
      </c>
      <c r="C98">
        <f>INDEX(V!$F$2:$F$252,MATCH($A98,V!$A$2:$A$252,0))</f>
        <v>349.35</v>
      </c>
      <c r="D98">
        <f>INDEX(XOM!$F$2:$F$252,MATCH($A98,XOM!$A$2:$A$252,0))</f>
        <v>110.32</v>
      </c>
      <c r="E98">
        <f>INDEX(PFE!$F$2:$F$252,MATCH($A98,PFE!$A$2:$A$252,0))</f>
        <v>25.43</v>
      </c>
      <c r="F98">
        <f>INDEX(PG!$F$2:$F$252,MATCH($A98,PG!$A$2:$A$252,0))</f>
        <v>157.57</v>
      </c>
      <c r="G98">
        <f>INDEX('S&amp;P 500'!$F$2:$F$251,MATCH($A98,'S&amp;P 500'!$A$2:$A$251,0))</f>
        <v>6466.91</v>
      </c>
    </row>
    <row r="99" spans="1:7" x14ac:dyDescent="0.3">
      <c r="A99" s="1">
        <v>45890</v>
      </c>
      <c r="B99" s="2">
        <v>120.62</v>
      </c>
      <c r="C99">
        <f>INDEX(V!$F$2:$F$252,MATCH($A99,V!$A$2:$A$252,0))</f>
        <v>343.01</v>
      </c>
      <c r="D99">
        <f>INDEX(XOM!$F$2:$F$252,MATCH($A99,XOM!$A$2:$A$252,0))</f>
        <v>108.28</v>
      </c>
      <c r="E99">
        <f>INDEX(PFE!$F$2:$F$252,MATCH($A99,PFE!$A$2:$A$252,0))</f>
        <v>25.29</v>
      </c>
      <c r="F99">
        <f>INDEX(PG!$F$2:$F$252,MATCH($A99,PG!$A$2:$A$252,0))</f>
        <v>157.63</v>
      </c>
      <c r="G99">
        <f>INDEX('S&amp;P 500'!$F$2:$F$251,MATCH($A99,'S&amp;P 500'!$A$2:$A$251,0))</f>
        <v>6370.17</v>
      </c>
    </row>
    <row r="100" spans="1:7" x14ac:dyDescent="0.3">
      <c r="A100" s="1">
        <v>45889</v>
      </c>
      <c r="B100" s="2">
        <v>121.39</v>
      </c>
      <c r="C100">
        <f>INDEX(V!$F$2:$F$252,MATCH($A100,V!$A$2:$A$252,0))</f>
        <v>343.25</v>
      </c>
      <c r="D100">
        <f>INDEX(XOM!$F$2:$F$252,MATCH($A100,XOM!$A$2:$A$252,0))</f>
        <v>107.59</v>
      </c>
      <c r="E100">
        <f>INDEX(PFE!$F$2:$F$252,MATCH($A100,PFE!$A$2:$A$252,0))</f>
        <v>24.94</v>
      </c>
      <c r="F100">
        <f>INDEX(PG!$F$2:$F$252,MATCH($A100,PG!$A$2:$A$252,0))</f>
        <v>158.4</v>
      </c>
      <c r="G100">
        <f>INDEX('S&amp;P 500'!$F$2:$F$251,MATCH($A100,'S&amp;P 500'!$A$2:$A$251,0))</f>
        <v>6395.78</v>
      </c>
    </row>
    <row r="101" spans="1:7" x14ac:dyDescent="0.3">
      <c r="A101" s="1">
        <v>45888</v>
      </c>
      <c r="B101" s="2">
        <v>121.42</v>
      </c>
      <c r="C101">
        <f>INDEX(V!$F$2:$F$252,MATCH($A101,V!$A$2:$A$252,0))</f>
        <v>341.77</v>
      </c>
      <c r="D101">
        <f>INDEX(XOM!$F$2:$F$252,MATCH($A101,XOM!$A$2:$A$252,0))</f>
        <v>106.49</v>
      </c>
      <c r="E101">
        <f>INDEX(PFE!$F$2:$F$252,MATCH($A101,PFE!$A$2:$A$252,0))</f>
        <v>24.88</v>
      </c>
      <c r="F101">
        <f>INDEX(PG!$F$2:$F$252,MATCH($A101,PG!$A$2:$A$252,0))</f>
        <v>157.30000000000001</v>
      </c>
      <c r="G101">
        <f>INDEX('S&amp;P 500'!$F$2:$F$251,MATCH($A101,'S&amp;P 500'!$A$2:$A$251,0))</f>
        <v>6411.37</v>
      </c>
    </row>
    <row r="102" spans="1:7" x14ac:dyDescent="0.3">
      <c r="A102" s="1">
        <v>45887</v>
      </c>
      <c r="B102" s="2">
        <v>124.51</v>
      </c>
      <c r="C102">
        <f>INDEX(V!$F$2:$F$252,MATCH($A102,V!$A$2:$A$252,0))</f>
        <v>342.06</v>
      </c>
      <c r="D102">
        <f>INDEX(XOM!$F$2:$F$252,MATCH($A102,XOM!$A$2:$A$252,0))</f>
        <v>105.79</v>
      </c>
      <c r="E102">
        <f>INDEX(PFE!$F$2:$F$252,MATCH($A102,PFE!$A$2:$A$252,0))</f>
        <v>24.64</v>
      </c>
      <c r="F102">
        <f>INDEX(PG!$F$2:$F$252,MATCH($A102,PG!$A$2:$A$252,0))</f>
        <v>154.63999999999999</v>
      </c>
      <c r="G102">
        <f>INDEX('S&amp;P 500'!$F$2:$F$251,MATCH($A102,'S&amp;P 500'!$A$2:$A$251,0))</f>
        <v>6449.15</v>
      </c>
    </row>
    <row r="103" spans="1:7" x14ac:dyDescent="0.3">
      <c r="A103" s="1">
        <v>45884</v>
      </c>
      <c r="B103" s="2">
        <v>123.89</v>
      </c>
      <c r="C103">
        <f>INDEX(V!$F$2:$F$252,MATCH($A103,V!$A$2:$A$252,0))</f>
        <v>343.79</v>
      </c>
      <c r="D103">
        <f>INDEX(XOM!$F$2:$F$252,MATCH($A103,XOM!$A$2:$A$252,0))</f>
        <v>105.57</v>
      </c>
      <c r="E103">
        <f>INDEX(PFE!$F$2:$F$252,MATCH($A103,PFE!$A$2:$A$252,0))</f>
        <v>24.7</v>
      </c>
      <c r="F103">
        <f>INDEX(PG!$F$2:$F$252,MATCH($A103,PG!$A$2:$A$252,0))</f>
        <v>153.29</v>
      </c>
      <c r="G103">
        <f>INDEX('S&amp;P 500'!$F$2:$F$251,MATCH($A103,'S&amp;P 500'!$A$2:$A$251,0))</f>
        <v>6449.8</v>
      </c>
    </row>
    <row r="104" spans="1:7" x14ac:dyDescent="0.3">
      <c r="A104" s="1">
        <v>45883</v>
      </c>
      <c r="B104" s="2">
        <v>123.06</v>
      </c>
      <c r="C104">
        <f>INDEX(V!$F$2:$F$252,MATCH($A104,V!$A$2:$A$252,0))</f>
        <v>344.81</v>
      </c>
      <c r="D104">
        <f>INDEX(XOM!$F$2:$F$252,MATCH($A104,XOM!$A$2:$A$252,0))</f>
        <v>105.47</v>
      </c>
      <c r="E104">
        <f>INDEX(PFE!$F$2:$F$252,MATCH($A104,PFE!$A$2:$A$252,0))</f>
        <v>24.68</v>
      </c>
      <c r="F104">
        <f>INDEX(PG!$F$2:$F$252,MATCH($A104,PG!$A$2:$A$252,0))</f>
        <v>152.66999999999999</v>
      </c>
      <c r="G104">
        <f>INDEX('S&amp;P 500'!$F$2:$F$251,MATCH($A104,'S&amp;P 500'!$A$2:$A$251,0))</f>
        <v>6468.54</v>
      </c>
    </row>
    <row r="105" spans="1:7" x14ac:dyDescent="0.3">
      <c r="A105" s="1">
        <v>45882</v>
      </c>
      <c r="B105" s="2">
        <v>120.44</v>
      </c>
      <c r="C105">
        <f>INDEX(V!$F$2:$F$252,MATCH($A105,V!$A$2:$A$252,0))</f>
        <v>341.87</v>
      </c>
      <c r="D105">
        <f>INDEX(XOM!$F$2:$F$252,MATCH($A105,XOM!$A$2:$A$252,0))</f>
        <v>105.68</v>
      </c>
      <c r="E105">
        <f>INDEX(PFE!$F$2:$F$252,MATCH($A105,PFE!$A$2:$A$252,0))</f>
        <v>24.72</v>
      </c>
      <c r="F105">
        <f>INDEX(PG!$F$2:$F$252,MATCH($A105,PG!$A$2:$A$252,0))</f>
        <v>154.33000000000001</v>
      </c>
      <c r="G105">
        <f>INDEX('S&amp;P 500'!$F$2:$F$251,MATCH($A105,'S&amp;P 500'!$A$2:$A$251,0))</f>
        <v>6466.58</v>
      </c>
    </row>
    <row r="106" spans="1:7" x14ac:dyDescent="0.3">
      <c r="A106" s="1">
        <v>45881</v>
      </c>
      <c r="B106" s="2">
        <v>122.53</v>
      </c>
      <c r="C106">
        <f>INDEX(V!$F$2:$F$252,MATCH($A106,V!$A$2:$A$252,0))</f>
        <v>336.07</v>
      </c>
      <c r="D106">
        <f>INDEX(XOM!$F$2:$F$252,MATCH($A106,XOM!$A$2:$A$252,0))</f>
        <v>104.24</v>
      </c>
      <c r="E106">
        <f>INDEX(PFE!$F$2:$F$252,MATCH($A106,PFE!$A$2:$A$252,0))</f>
        <v>24.22</v>
      </c>
      <c r="F106">
        <f>INDEX(PG!$F$2:$F$252,MATCH($A106,PG!$A$2:$A$252,0))</f>
        <v>154.01</v>
      </c>
      <c r="G106">
        <f>INDEX('S&amp;P 500'!$F$2:$F$251,MATCH($A106,'S&amp;P 500'!$A$2:$A$251,0))</f>
        <v>6445.76</v>
      </c>
    </row>
    <row r="107" spans="1:7" x14ac:dyDescent="0.3">
      <c r="A107" s="1">
        <v>45880</v>
      </c>
      <c r="B107" s="2">
        <v>121.83</v>
      </c>
      <c r="C107">
        <f>INDEX(V!$F$2:$F$252,MATCH($A107,V!$A$2:$A$252,0))</f>
        <v>334.65</v>
      </c>
      <c r="D107">
        <f>INDEX(XOM!$F$2:$F$252,MATCH($A107,XOM!$A$2:$A$252,0))</f>
        <v>103.95</v>
      </c>
      <c r="E107">
        <f>INDEX(PFE!$F$2:$F$252,MATCH($A107,PFE!$A$2:$A$252,0))</f>
        <v>24.15</v>
      </c>
      <c r="F107">
        <f>INDEX(PG!$F$2:$F$252,MATCH($A107,PG!$A$2:$A$252,0))</f>
        <v>153.9</v>
      </c>
      <c r="G107">
        <f>INDEX('S&amp;P 500'!$F$2:$F$251,MATCH($A107,'S&amp;P 500'!$A$2:$A$251,0))</f>
        <v>6373.45</v>
      </c>
    </row>
    <row r="108" spans="1:7" x14ac:dyDescent="0.3">
      <c r="A108" s="1">
        <v>45877</v>
      </c>
      <c r="B108" s="2">
        <v>121.16</v>
      </c>
      <c r="C108">
        <f>INDEX(V!$F$2:$F$252,MATCH($A108,V!$A$2:$A$252,0))</f>
        <v>335.52</v>
      </c>
      <c r="D108">
        <f>INDEX(XOM!$F$2:$F$252,MATCH($A108,XOM!$A$2:$A$252,0))</f>
        <v>104.9</v>
      </c>
      <c r="E108">
        <f>INDEX(PFE!$F$2:$F$252,MATCH($A108,PFE!$A$2:$A$252,0))</f>
        <v>24.15</v>
      </c>
      <c r="F108">
        <f>INDEX(PG!$F$2:$F$252,MATCH($A108,PG!$A$2:$A$252,0))</f>
        <v>152.44</v>
      </c>
      <c r="G108">
        <f>INDEX('S&amp;P 500'!$F$2:$F$251,MATCH($A108,'S&amp;P 500'!$A$2:$A$251,0))</f>
        <v>6389.45</v>
      </c>
    </row>
    <row r="109" spans="1:7" x14ac:dyDescent="0.3">
      <c r="A109" s="1">
        <v>45876</v>
      </c>
      <c r="B109" s="2">
        <v>118.04</v>
      </c>
      <c r="C109">
        <f>INDEX(V!$F$2:$F$252,MATCH($A109,V!$A$2:$A$252,0))</f>
        <v>330.85</v>
      </c>
      <c r="D109">
        <f>INDEX(XOM!$F$2:$F$252,MATCH($A109,XOM!$A$2:$A$252,0))</f>
        <v>104.06</v>
      </c>
      <c r="E109">
        <f>INDEX(PFE!$F$2:$F$252,MATCH($A109,PFE!$A$2:$A$252,0))</f>
        <v>23.81</v>
      </c>
      <c r="F109">
        <f>INDEX(PG!$F$2:$F$252,MATCH($A109,PG!$A$2:$A$252,0))</f>
        <v>152.41999999999999</v>
      </c>
      <c r="G109">
        <f>INDEX('S&amp;P 500'!$F$2:$F$251,MATCH($A109,'S&amp;P 500'!$A$2:$A$251,0))</f>
        <v>6340</v>
      </c>
    </row>
    <row r="110" spans="1:7" x14ac:dyDescent="0.3">
      <c r="A110" s="1">
        <v>45875</v>
      </c>
      <c r="B110" s="2">
        <v>117.85</v>
      </c>
      <c r="C110">
        <f>INDEX(V!$F$2:$F$252,MATCH($A110,V!$A$2:$A$252,0))</f>
        <v>338.47</v>
      </c>
      <c r="D110">
        <f>INDEX(XOM!$F$2:$F$252,MATCH($A110,XOM!$A$2:$A$252,0))</f>
        <v>104.61</v>
      </c>
      <c r="E110">
        <f>INDEX(PFE!$F$2:$F$252,MATCH($A110,PFE!$A$2:$A$252,0))</f>
        <v>23.52</v>
      </c>
      <c r="F110">
        <f>INDEX(PG!$F$2:$F$252,MATCH($A110,PG!$A$2:$A$252,0))</f>
        <v>151.80000000000001</v>
      </c>
      <c r="G110">
        <f>INDEX('S&amp;P 500'!$F$2:$F$251,MATCH($A110,'S&amp;P 500'!$A$2:$A$251,0))</f>
        <v>6345.06</v>
      </c>
    </row>
    <row r="111" spans="1:7" x14ac:dyDescent="0.3">
      <c r="A111" s="1">
        <v>45874</v>
      </c>
      <c r="B111" s="2">
        <v>114.79</v>
      </c>
      <c r="C111">
        <f>INDEX(V!$F$2:$F$252,MATCH($A111,V!$A$2:$A$252,0))</f>
        <v>336.17</v>
      </c>
      <c r="D111">
        <f>INDEX(XOM!$F$2:$F$252,MATCH($A111,XOM!$A$2:$A$252,0))</f>
        <v>105.33</v>
      </c>
      <c r="E111">
        <f>INDEX(PFE!$F$2:$F$252,MATCH($A111,PFE!$A$2:$A$252,0))</f>
        <v>24.32</v>
      </c>
      <c r="F111">
        <f>INDEX(PG!$F$2:$F$252,MATCH($A111,PG!$A$2:$A$252,0))</f>
        <v>149.46</v>
      </c>
      <c r="G111">
        <f>INDEX('S&amp;P 500'!$F$2:$F$251,MATCH($A111,'S&amp;P 500'!$A$2:$A$251,0))</f>
        <v>6299.19</v>
      </c>
    </row>
    <row r="112" spans="1:7" x14ac:dyDescent="0.3">
      <c r="A112" s="1">
        <v>45873</v>
      </c>
      <c r="B112" s="2">
        <v>117.1</v>
      </c>
      <c r="C112">
        <f>INDEX(V!$F$2:$F$252,MATCH($A112,V!$A$2:$A$252,0))</f>
        <v>340.87</v>
      </c>
      <c r="D112">
        <f>INDEX(XOM!$F$2:$F$252,MATCH($A112,XOM!$A$2:$A$252,0))</f>
        <v>105.46</v>
      </c>
      <c r="E112">
        <f>INDEX(PFE!$F$2:$F$252,MATCH($A112,PFE!$A$2:$A$252,0))</f>
        <v>23.12</v>
      </c>
      <c r="F112">
        <f>INDEX(PG!$F$2:$F$252,MATCH($A112,PG!$A$2:$A$252,0))</f>
        <v>149.71</v>
      </c>
      <c r="G112">
        <f>INDEX('S&amp;P 500'!$F$2:$F$251,MATCH($A112,'S&amp;P 500'!$A$2:$A$251,0))</f>
        <v>6329.94</v>
      </c>
    </row>
    <row r="113" spans="1:7" x14ac:dyDescent="0.3">
      <c r="A113" s="1">
        <v>45870</v>
      </c>
      <c r="B113" s="2">
        <v>115.86</v>
      </c>
      <c r="C113">
        <f>INDEX(V!$F$2:$F$252,MATCH($A113,V!$A$2:$A$252,0))</f>
        <v>338.08</v>
      </c>
      <c r="D113">
        <f>INDEX(XOM!$F$2:$F$252,MATCH($A113,XOM!$A$2:$A$252,0))</f>
        <v>107.69</v>
      </c>
      <c r="E113">
        <f>INDEX(PFE!$F$2:$F$252,MATCH($A113,PFE!$A$2:$A$252,0))</f>
        <v>23.08</v>
      </c>
      <c r="F113">
        <f>INDEX(PG!$F$2:$F$252,MATCH($A113,PG!$A$2:$A$252,0))</f>
        <v>149.6</v>
      </c>
      <c r="G113">
        <f>INDEX('S&amp;P 500'!$F$2:$F$251,MATCH($A113,'S&amp;P 500'!$A$2:$A$251,0))</f>
        <v>6238.01</v>
      </c>
    </row>
    <row r="114" spans="1:7" x14ac:dyDescent="0.3">
      <c r="A114" s="1">
        <v>45869</v>
      </c>
      <c r="B114" s="2">
        <v>115.94</v>
      </c>
      <c r="C114">
        <f>INDEX(V!$F$2:$F$252,MATCH($A114,V!$A$2:$A$252,0))</f>
        <v>344.18</v>
      </c>
      <c r="D114">
        <f>INDEX(XOM!$F$2:$F$252,MATCH($A114,XOM!$A$2:$A$252,0))</f>
        <v>109.65</v>
      </c>
      <c r="E114">
        <f>INDEX(PFE!$F$2:$F$252,MATCH($A114,PFE!$A$2:$A$252,0))</f>
        <v>22.89</v>
      </c>
      <c r="F114">
        <f>INDEX(PG!$F$2:$F$252,MATCH($A114,PG!$A$2:$A$252,0))</f>
        <v>149.43</v>
      </c>
      <c r="G114">
        <f>INDEX('S&amp;P 500'!$F$2:$F$251,MATCH($A114,'S&amp;P 500'!$A$2:$A$251,0))</f>
        <v>6339.39</v>
      </c>
    </row>
    <row r="115" spans="1:7" x14ac:dyDescent="0.3">
      <c r="A115" s="1">
        <v>45868</v>
      </c>
      <c r="B115" s="2">
        <v>118.42</v>
      </c>
      <c r="C115">
        <f>INDEX(V!$F$2:$F$252,MATCH($A115,V!$A$2:$A$252,0))</f>
        <v>349.6</v>
      </c>
      <c r="D115">
        <f>INDEX(XOM!$F$2:$F$252,MATCH($A115,XOM!$A$2:$A$252,0))</f>
        <v>109.91</v>
      </c>
      <c r="E115">
        <f>INDEX(PFE!$F$2:$F$252,MATCH($A115,PFE!$A$2:$A$252,0))</f>
        <v>23.4</v>
      </c>
      <c r="F115">
        <f>INDEX(PG!$F$2:$F$252,MATCH($A115,PG!$A$2:$A$252,0))</f>
        <v>151.82</v>
      </c>
      <c r="G115">
        <f>INDEX('S&amp;P 500'!$F$2:$F$251,MATCH($A115,'S&amp;P 500'!$A$2:$A$251,0))</f>
        <v>6362.9</v>
      </c>
    </row>
    <row r="116" spans="1:7" x14ac:dyDescent="0.3">
      <c r="A116" s="1">
        <v>45867</v>
      </c>
      <c r="B116" s="2">
        <v>116.87</v>
      </c>
      <c r="C116">
        <f>INDEX(V!$F$2:$F$252,MATCH($A116,V!$A$2:$A$252,0))</f>
        <v>349.98</v>
      </c>
      <c r="D116">
        <f>INDEX(XOM!$F$2:$F$252,MATCH($A116,XOM!$A$2:$A$252,0))</f>
        <v>110.87</v>
      </c>
      <c r="E116">
        <f>INDEX(PFE!$F$2:$F$252,MATCH($A116,PFE!$A$2:$A$252,0))</f>
        <v>23.88</v>
      </c>
      <c r="F116">
        <f>INDEX(PG!$F$2:$F$252,MATCH($A116,PG!$A$2:$A$252,0))</f>
        <v>155.52000000000001</v>
      </c>
      <c r="G116">
        <f>INDEX('S&amp;P 500'!$F$2:$F$251,MATCH($A116,'S&amp;P 500'!$A$2:$A$251,0))</f>
        <v>6370.86</v>
      </c>
    </row>
    <row r="117" spans="1:7" x14ac:dyDescent="0.3">
      <c r="A117" s="1">
        <v>45866</v>
      </c>
      <c r="B117" s="2">
        <v>117.46</v>
      </c>
      <c r="C117">
        <f>INDEX(V!$F$2:$F$252,MATCH($A117,V!$A$2:$A$252,0))</f>
        <v>354.14</v>
      </c>
      <c r="D117">
        <f>INDEX(XOM!$F$2:$F$252,MATCH($A117,XOM!$A$2:$A$252,0))</f>
        <v>109.46</v>
      </c>
      <c r="E117">
        <f>INDEX(PFE!$F$2:$F$252,MATCH($A117,PFE!$A$2:$A$252,0))</f>
        <v>23.89</v>
      </c>
      <c r="F117">
        <f>INDEX(PG!$F$2:$F$252,MATCH($A117,PG!$A$2:$A$252,0))</f>
        <v>156.02000000000001</v>
      </c>
      <c r="G117">
        <f>INDEX('S&amp;P 500'!$F$2:$F$251,MATCH($A117,'S&amp;P 500'!$A$2:$A$251,0))</f>
        <v>6389.77</v>
      </c>
    </row>
    <row r="118" spans="1:7" x14ac:dyDescent="0.3">
      <c r="A118" s="1">
        <v>45863</v>
      </c>
      <c r="B118" s="2">
        <v>118.05</v>
      </c>
      <c r="C118">
        <f>INDEX(V!$F$2:$F$252,MATCH($A118,V!$A$2:$A$252,0))</f>
        <v>355.71</v>
      </c>
      <c r="D118">
        <f>INDEX(XOM!$F$2:$F$252,MATCH($A118,XOM!$A$2:$A$252,0))</f>
        <v>108.43</v>
      </c>
      <c r="E118">
        <f>INDEX(PFE!$F$2:$F$252,MATCH($A118,PFE!$A$2:$A$252,0))</f>
        <v>24.36</v>
      </c>
      <c r="F118">
        <f>INDEX(PG!$F$2:$F$252,MATCH($A118,PG!$A$2:$A$252,0))</f>
        <v>157.19999999999999</v>
      </c>
      <c r="G118">
        <f>INDEX('S&amp;P 500'!$F$2:$F$251,MATCH($A118,'S&amp;P 500'!$A$2:$A$251,0))</f>
        <v>6388.64</v>
      </c>
    </row>
    <row r="119" spans="1:7" x14ac:dyDescent="0.3">
      <c r="A119" s="1">
        <v>45862</v>
      </c>
      <c r="B119" s="2">
        <v>118.08</v>
      </c>
      <c r="C119">
        <f>INDEX(V!$F$2:$F$252,MATCH($A119,V!$A$2:$A$252,0))</f>
        <v>352.65</v>
      </c>
      <c r="D119">
        <f>INDEX(XOM!$F$2:$F$252,MATCH($A119,XOM!$A$2:$A$252,0))</f>
        <v>108.82</v>
      </c>
      <c r="E119">
        <f>INDEX(PFE!$F$2:$F$252,MATCH($A119,PFE!$A$2:$A$252,0))</f>
        <v>24.49</v>
      </c>
      <c r="F119">
        <f>INDEX(PG!$F$2:$F$252,MATCH($A119,PG!$A$2:$A$252,0))</f>
        <v>157.71</v>
      </c>
      <c r="G119">
        <f>INDEX('S&amp;P 500'!$F$2:$F$251,MATCH($A119,'S&amp;P 500'!$A$2:$A$251,0))</f>
        <v>6363.35</v>
      </c>
    </row>
    <row r="120" spans="1:7" x14ac:dyDescent="0.3">
      <c r="A120" s="1">
        <v>45861</v>
      </c>
      <c r="B120" s="2">
        <v>117.68</v>
      </c>
      <c r="C120">
        <f>INDEX(V!$F$2:$F$252,MATCH($A120,V!$A$2:$A$252,0))</f>
        <v>353.96</v>
      </c>
      <c r="D120">
        <f>INDEX(XOM!$F$2:$F$252,MATCH($A120,XOM!$A$2:$A$252,0))</f>
        <v>107.97</v>
      </c>
      <c r="E120">
        <f>INDEX(PFE!$F$2:$F$252,MATCH($A120,PFE!$A$2:$A$252,0))</f>
        <v>24.5</v>
      </c>
      <c r="F120">
        <f>INDEX(PG!$F$2:$F$252,MATCH($A120,PG!$A$2:$A$252,0))</f>
        <v>157.18</v>
      </c>
      <c r="G120">
        <f>INDEX('S&amp;P 500'!$F$2:$F$251,MATCH($A120,'S&amp;P 500'!$A$2:$A$251,0))</f>
        <v>6358.91</v>
      </c>
    </row>
    <row r="121" spans="1:7" x14ac:dyDescent="0.3">
      <c r="A121" s="1">
        <v>45860</v>
      </c>
      <c r="B121" s="2">
        <v>119.01</v>
      </c>
      <c r="C121">
        <f>INDEX(V!$F$2:$F$252,MATCH($A121,V!$A$2:$A$252,0))</f>
        <v>350.55</v>
      </c>
      <c r="D121">
        <f>INDEX(XOM!$F$2:$F$252,MATCH($A121,XOM!$A$2:$A$252,0))</f>
        <v>106.61</v>
      </c>
      <c r="E121">
        <f>INDEX(PFE!$F$2:$F$252,MATCH($A121,PFE!$A$2:$A$252,0))</f>
        <v>24.29</v>
      </c>
      <c r="F121">
        <f>INDEX(PG!$F$2:$F$252,MATCH($A121,PG!$A$2:$A$252,0))</f>
        <v>157.22</v>
      </c>
      <c r="G121">
        <f>INDEX('S&amp;P 500'!$F$2:$F$251,MATCH($A121,'S&amp;P 500'!$A$2:$A$251,0))</f>
        <v>6309.62</v>
      </c>
    </row>
    <row r="122" spans="1:7" x14ac:dyDescent="0.3">
      <c r="A122" s="1">
        <v>45859</v>
      </c>
      <c r="B122" s="2">
        <v>123.33</v>
      </c>
      <c r="C122">
        <f>INDEX(V!$F$2:$F$252,MATCH($A122,V!$A$2:$A$252,0))</f>
        <v>349.63</v>
      </c>
      <c r="D122">
        <f>INDEX(XOM!$F$2:$F$252,MATCH($A122,XOM!$A$2:$A$252,0))</f>
        <v>106.13</v>
      </c>
      <c r="E122">
        <f>INDEX(PFE!$F$2:$F$252,MATCH($A122,PFE!$A$2:$A$252,0))</f>
        <v>23.44</v>
      </c>
      <c r="F122">
        <f>INDEX(PG!$F$2:$F$252,MATCH($A122,PG!$A$2:$A$252,0))</f>
        <v>153.94999999999999</v>
      </c>
      <c r="G122">
        <f>INDEX('S&amp;P 500'!$F$2:$F$251,MATCH($A122,'S&amp;P 500'!$A$2:$A$251,0))</f>
        <v>6305.6</v>
      </c>
    </row>
    <row r="123" spans="1:7" x14ac:dyDescent="0.3">
      <c r="A123" s="1">
        <v>45856</v>
      </c>
      <c r="B123" s="2">
        <v>120.92</v>
      </c>
      <c r="C123">
        <f>INDEX(V!$F$2:$F$252,MATCH($A123,V!$A$2:$A$252,0))</f>
        <v>347.75</v>
      </c>
      <c r="D123">
        <f>INDEX(XOM!$F$2:$F$252,MATCH($A123,XOM!$A$2:$A$252,0))</f>
        <v>105.85</v>
      </c>
      <c r="E123">
        <f>INDEX(PFE!$F$2:$F$252,MATCH($A123,PFE!$A$2:$A$252,0))</f>
        <v>23.64</v>
      </c>
      <c r="F123">
        <f>INDEX(PG!$F$2:$F$252,MATCH($A123,PG!$A$2:$A$252,0))</f>
        <v>154.02000000000001</v>
      </c>
      <c r="G123">
        <f>INDEX('S&amp;P 500'!$F$2:$F$251,MATCH($A123,'S&amp;P 500'!$A$2:$A$251,0))</f>
        <v>6296.79</v>
      </c>
    </row>
    <row r="124" spans="1:7" x14ac:dyDescent="0.3">
      <c r="A124" s="1">
        <v>45855</v>
      </c>
      <c r="B124" s="2">
        <v>127.42</v>
      </c>
      <c r="C124">
        <f>INDEX(V!$F$2:$F$252,MATCH($A124,V!$A$2:$A$252,0))</f>
        <v>348.51</v>
      </c>
      <c r="D124">
        <f>INDEX(XOM!$F$2:$F$252,MATCH($A124,XOM!$A$2:$A$252,0))</f>
        <v>109.67</v>
      </c>
      <c r="E124">
        <f>INDEX(PFE!$F$2:$F$252,MATCH($A124,PFE!$A$2:$A$252,0))</f>
        <v>23.74</v>
      </c>
      <c r="F124">
        <f>INDEX(PG!$F$2:$F$252,MATCH($A124,PG!$A$2:$A$252,0))</f>
        <v>153.49</v>
      </c>
      <c r="G124">
        <f>INDEX('S&amp;P 500'!$F$2:$F$251,MATCH($A124,'S&amp;P 500'!$A$2:$A$251,0))</f>
        <v>6297.36</v>
      </c>
    </row>
    <row r="125" spans="1:7" x14ac:dyDescent="0.3">
      <c r="A125" s="1">
        <v>45854</v>
      </c>
      <c r="B125" s="2">
        <v>125.03</v>
      </c>
      <c r="C125">
        <f>INDEX(V!$F$2:$F$252,MATCH($A125,V!$A$2:$A$252,0))</f>
        <v>348.59</v>
      </c>
      <c r="D125">
        <f>INDEX(XOM!$F$2:$F$252,MATCH($A125,XOM!$A$2:$A$252,0))</f>
        <v>110.23</v>
      </c>
      <c r="E125">
        <f>INDEX(PFE!$F$2:$F$252,MATCH($A125,PFE!$A$2:$A$252,0))</f>
        <v>23.77</v>
      </c>
      <c r="F125">
        <f>INDEX(PG!$F$2:$F$252,MATCH($A125,PG!$A$2:$A$252,0))</f>
        <v>151.63</v>
      </c>
      <c r="G125">
        <f>INDEX('S&amp;P 500'!$F$2:$F$251,MATCH($A125,'S&amp;P 500'!$A$2:$A$251,0))</f>
        <v>6263.7</v>
      </c>
    </row>
    <row r="126" spans="1:7" x14ac:dyDescent="0.3">
      <c r="A126" s="1">
        <v>45853</v>
      </c>
      <c r="B126" s="2">
        <v>126.03</v>
      </c>
      <c r="C126">
        <f>INDEX(V!$F$2:$F$252,MATCH($A126,V!$A$2:$A$252,0))</f>
        <v>345.73</v>
      </c>
      <c r="D126">
        <f>INDEX(XOM!$F$2:$F$252,MATCH($A126,XOM!$A$2:$A$252,0))</f>
        <v>110.9</v>
      </c>
      <c r="E126">
        <f>INDEX(PFE!$F$2:$F$252,MATCH($A126,PFE!$A$2:$A$252,0))</f>
        <v>23.77</v>
      </c>
      <c r="F126">
        <f>INDEX(PG!$F$2:$F$252,MATCH($A126,PG!$A$2:$A$252,0))</f>
        <v>150.59</v>
      </c>
      <c r="G126">
        <f>INDEX('S&amp;P 500'!$F$2:$F$251,MATCH($A126,'S&amp;P 500'!$A$2:$A$251,0))</f>
        <v>6243.76</v>
      </c>
    </row>
    <row r="127" spans="1:7" x14ac:dyDescent="0.3">
      <c r="A127" s="1">
        <v>45852</v>
      </c>
      <c r="B127" s="2">
        <v>126.19</v>
      </c>
      <c r="C127">
        <f>INDEX(V!$F$2:$F$252,MATCH($A127,V!$A$2:$A$252,0))</f>
        <v>349.19</v>
      </c>
      <c r="D127">
        <f>INDEX(XOM!$F$2:$F$252,MATCH($A127,XOM!$A$2:$A$252,0))</f>
        <v>111.89</v>
      </c>
      <c r="E127">
        <f>INDEX(PFE!$F$2:$F$252,MATCH($A127,PFE!$A$2:$A$252,0))</f>
        <v>24.49</v>
      </c>
      <c r="F127">
        <f>INDEX(PG!$F$2:$F$252,MATCH($A127,PG!$A$2:$A$252,0))</f>
        <v>151.66</v>
      </c>
      <c r="G127">
        <f>INDEX('S&amp;P 500'!$F$2:$F$251,MATCH($A127,'S&amp;P 500'!$A$2:$A$251,0))</f>
        <v>6268.56</v>
      </c>
    </row>
    <row r="128" spans="1:7" x14ac:dyDescent="0.3">
      <c r="A128" s="1">
        <v>45849</v>
      </c>
      <c r="B128" s="2">
        <v>124.51</v>
      </c>
      <c r="C128">
        <f>INDEX(V!$F$2:$F$252,MATCH($A128,V!$A$2:$A$252,0))</f>
        <v>346.63</v>
      </c>
      <c r="D128">
        <f>INDEX(XOM!$F$2:$F$252,MATCH($A128,XOM!$A$2:$A$252,0))</f>
        <v>113.37</v>
      </c>
      <c r="E128">
        <f>INDEX(PFE!$F$2:$F$252,MATCH($A128,PFE!$A$2:$A$252,0))</f>
        <v>24.78</v>
      </c>
      <c r="F128">
        <f>INDEX(PG!$F$2:$F$252,MATCH($A128,PG!$A$2:$A$252,0))</f>
        <v>154.9</v>
      </c>
      <c r="G128">
        <f>INDEX('S&amp;P 500'!$F$2:$F$251,MATCH($A128,'S&amp;P 500'!$A$2:$A$251,0))</f>
        <v>6259.75</v>
      </c>
    </row>
    <row r="129" spans="1:7" x14ac:dyDescent="0.3">
      <c r="A129" s="1">
        <v>45848</v>
      </c>
      <c r="B129" s="2">
        <v>125.06</v>
      </c>
      <c r="C129">
        <f>INDEX(V!$F$2:$F$252,MATCH($A129,V!$A$2:$A$252,0))</f>
        <v>354.55</v>
      </c>
      <c r="D129">
        <f>INDEX(XOM!$F$2:$F$252,MATCH($A129,XOM!$A$2:$A$252,0))</f>
        <v>112.88</v>
      </c>
      <c r="E129">
        <f>INDEX(PFE!$F$2:$F$252,MATCH($A129,PFE!$A$2:$A$252,0))</f>
        <v>24.9</v>
      </c>
      <c r="F129">
        <f>INDEX(PG!$F$2:$F$252,MATCH($A129,PG!$A$2:$A$252,0))</f>
        <v>156.32</v>
      </c>
      <c r="G129">
        <f>INDEX('S&amp;P 500'!$F$2:$F$251,MATCH($A129,'S&amp;P 500'!$A$2:$A$251,0))</f>
        <v>6280.46</v>
      </c>
    </row>
    <row r="130" spans="1:7" x14ac:dyDescent="0.3">
      <c r="A130" s="1">
        <v>45847</v>
      </c>
      <c r="B130" s="2">
        <v>128.83000000000001</v>
      </c>
      <c r="C130">
        <f>INDEX(V!$F$2:$F$252,MATCH($A130,V!$A$2:$A$252,0))</f>
        <v>356.43</v>
      </c>
      <c r="D130">
        <f>INDEX(XOM!$F$2:$F$252,MATCH($A130,XOM!$A$2:$A$252,0))</f>
        <v>111.77</v>
      </c>
      <c r="E130">
        <f>INDEX(PFE!$F$2:$F$252,MATCH($A130,PFE!$A$2:$A$252,0))</f>
        <v>24.69</v>
      </c>
      <c r="F130">
        <f>INDEX(PG!$F$2:$F$252,MATCH($A130,PG!$A$2:$A$252,0))</f>
        <v>155.36000000000001</v>
      </c>
      <c r="G130">
        <f>INDEX('S&amp;P 500'!$F$2:$F$251,MATCH($A130,'S&amp;P 500'!$A$2:$A$251,0))</f>
        <v>6263.26</v>
      </c>
    </row>
    <row r="131" spans="1:7" x14ac:dyDescent="0.3">
      <c r="A131" s="1">
        <v>45846</v>
      </c>
      <c r="B131" s="2">
        <v>127.53</v>
      </c>
      <c r="C131">
        <f>INDEX(V!$F$2:$F$252,MATCH($A131,V!$A$2:$A$252,0))</f>
        <v>353.23</v>
      </c>
      <c r="D131">
        <f>INDEX(XOM!$F$2:$F$252,MATCH($A131,XOM!$A$2:$A$252,0))</f>
        <v>112.16</v>
      </c>
      <c r="E131">
        <f>INDEX(PFE!$F$2:$F$252,MATCH($A131,PFE!$A$2:$A$252,0))</f>
        <v>24.75</v>
      </c>
      <c r="F131">
        <f>INDEX(PG!$F$2:$F$252,MATCH($A131,PG!$A$2:$A$252,0))</f>
        <v>155.72999999999999</v>
      </c>
      <c r="G131">
        <f>INDEX('S&amp;P 500'!$F$2:$F$251,MATCH($A131,'S&amp;P 500'!$A$2:$A$251,0))</f>
        <v>6225.52</v>
      </c>
    </row>
    <row r="132" spans="1:7" x14ac:dyDescent="0.3">
      <c r="A132" s="1">
        <v>45845</v>
      </c>
      <c r="B132" s="2">
        <v>128.96</v>
      </c>
      <c r="C132">
        <f>INDEX(V!$F$2:$F$252,MATCH($A132,V!$A$2:$A$252,0))</f>
        <v>355.31</v>
      </c>
      <c r="D132">
        <f>INDEX(XOM!$F$2:$F$252,MATCH($A132,XOM!$A$2:$A$252,0))</f>
        <v>109.13</v>
      </c>
      <c r="E132">
        <f>INDEX(PFE!$F$2:$F$252,MATCH($A132,PFE!$A$2:$A$252,0))</f>
        <v>24.38</v>
      </c>
      <c r="F132">
        <f>INDEX(PG!$F$2:$F$252,MATCH($A132,PG!$A$2:$A$252,0))</f>
        <v>158.30000000000001</v>
      </c>
      <c r="G132">
        <f>INDEX('S&amp;P 500'!$F$2:$F$251,MATCH($A132,'S&amp;P 500'!$A$2:$A$251,0))</f>
        <v>6229.98</v>
      </c>
    </row>
    <row r="133" spans="1:7" x14ac:dyDescent="0.3">
      <c r="A133" s="1">
        <v>45841</v>
      </c>
      <c r="B133" s="2">
        <v>129.72</v>
      </c>
      <c r="C133">
        <f>INDEX(V!$F$2:$F$252,MATCH($A133,V!$A$2:$A$252,0))</f>
        <v>357.52</v>
      </c>
      <c r="D133">
        <f>INDEX(XOM!$F$2:$F$252,MATCH($A133,XOM!$A$2:$A$252,0))</f>
        <v>110.2</v>
      </c>
      <c r="E133">
        <f>INDEX(PFE!$F$2:$F$252,MATCH($A133,PFE!$A$2:$A$252,0))</f>
        <v>24.52</v>
      </c>
      <c r="F133">
        <f>INDEX(PG!$F$2:$F$252,MATCH($A133,PG!$A$2:$A$252,0))</f>
        <v>158.63</v>
      </c>
      <c r="G133">
        <f>INDEX('S&amp;P 500'!$F$2:$F$251,MATCH($A133,'S&amp;P 500'!$A$2:$A$251,0))</f>
        <v>6279.35</v>
      </c>
    </row>
    <row r="134" spans="1:7" x14ac:dyDescent="0.3">
      <c r="A134" s="1">
        <v>45840</v>
      </c>
      <c r="B134" s="2">
        <v>128.49</v>
      </c>
      <c r="C134">
        <f>INDEX(V!$F$2:$F$252,MATCH($A134,V!$A$2:$A$252,0))</f>
        <v>352.9</v>
      </c>
      <c r="D134">
        <f>INDEX(XOM!$F$2:$F$252,MATCH($A134,XOM!$A$2:$A$252,0))</f>
        <v>109.07</v>
      </c>
      <c r="E134">
        <f>INDEX(PFE!$F$2:$F$252,MATCH($A134,PFE!$A$2:$A$252,0))</f>
        <v>24.46</v>
      </c>
      <c r="F134">
        <f>INDEX(PG!$F$2:$F$252,MATCH($A134,PG!$A$2:$A$252,0))</f>
        <v>158.99</v>
      </c>
      <c r="G134">
        <f>INDEX('S&amp;P 500'!$F$2:$F$251,MATCH($A134,'S&amp;P 500'!$A$2:$A$251,0))</f>
        <v>6227.42</v>
      </c>
    </row>
    <row r="135" spans="1:7" x14ac:dyDescent="0.3">
      <c r="A135" s="1">
        <v>45839</v>
      </c>
      <c r="B135" s="2">
        <v>129.36000000000001</v>
      </c>
      <c r="C135">
        <f>INDEX(V!$F$2:$F$252,MATCH($A135,V!$A$2:$A$252,0))</f>
        <v>354.14</v>
      </c>
      <c r="D135">
        <f>INDEX(XOM!$F$2:$F$252,MATCH($A135,XOM!$A$2:$A$252,0))</f>
        <v>107.29</v>
      </c>
      <c r="E135">
        <f>INDEX(PFE!$F$2:$F$252,MATCH($A135,PFE!$A$2:$A$252,0))</f>
        <v>24.19</v>
      </c>
      <c r="F135">
        <f>INDEX(PG!$F$2:$F$252,MATCH($A135,PG!$A$2:$A$252,0))</f>
        <v>159.01</v>
      </c>
      <c r="G135">
        <f>INDEX('S&amp;P 500'!$F$2:$F$251,MATCH($A135,'S&amp;P 500'!$A$2:$A$251,0))</f>
        <v>6198.01</v>
      </c>
    </row>
    <row r="136" spans="1:7" x14ac:dyDescent="0.3">
      <c r="A136" s="1">
        <v>45838</v>
      </c>
      <c r="B136" s="2">
        <v>133.91</v>
      </c>
      <c r="C136">
        <f>INDEX(V!$F$2:$F$252,MATCH($A136,V!$A$2:$A$252,0))</f>
        <v>353.73</v>
      </c>
      <c r="D136">
        <f>INDEX(XOM!$F$2:$F$252,MATCH($A136,XOM!$A$2:$A$252,0))</f>
        <v>105.88</v>
      </c>
      <c r="E136">
        <f>INDEX(PFE!$F$2:$F$252,MATCH($A136,PFE!$A$2:$A$252,0))</f>
        <v>23.42</v>
      </c>
      <c r="F136">
        <f>INDEX(PG!$F$2:$F$252,MATCH($A136,PG!$A$2:$A$252,0))</f>
        <v>157.13999999999999</v>
      </c>
      <c r="G136">
        <f>INDEX('S&amp;P 500'!$F$2:$F$251,MATCH($A136,'S&amp;P 500'!$A$2:$A$251,0))</f>
        <v>6204.95</v>
      </c>
    </row>
    <row r="137" spans="1:7" x14ac:dyDescent="0.3">
      <c r="A137" s="1">
        <v>45835</v>
      </c>
      <c r="B137" s="2">
        <v>132.31</v>
      </c>
      <c r="C137">
        <f>INDEX(V!$F$2:$F$252,MATCH($A137,V!$A$2:$A$252,0))</f>
        <v>347.31</v>
      </c>
      <c r="D137">
        <f>INDEX(XOM!$F$2:$F$252,MATCH($A137,XOM!$A$2:$A$252,0))</f>
        <v>107.43</v>
      </c>
      <c r="E137">
        <f>INDEX(PFE!$F$2:$F$252,MATCH($A137,PFE!$A$2:$A$252,0))</f>
        <v>23.37</v>
      </c>
      <c r="F137">
        <f>INDEX(PG!$F$2:$F$252,MATCH($A137,PG!$A$2:$A$252,0))</f>
        <v>157.66999999999999</v>
      </c>
      <c r="G137">
        <f>INDEX('S&amp;P 500'!$F$2:$F$251,MATCH($A137,'S&amp;P 500'!$A$2:$A$251,0))</f>
        <v>6173.07</v>
      </c>
    </row>
    <row r="138" spans="1:7" x14ac:dyDescent="0.3">
      <c r="A138" s="1">
        <v>45834</v>
      </c>
      <c r="B138" s="2">
        <v>130.66999999999999</v>
      </c>
      <c r="C138">
        <f>INDEX(V!$F$2:$F$252,MATCH($A138,V!$A$2:$A$252,0))</f>
        <v>344.74</v>
      </c>
      <c r="D138">
        <f>INDEX(XOM!$F$2:$F$252,MATCH($A138,XOM!$A$2:$A$252,0))</f>
        <v>108.03</v>
      </c>
      <c r="E138">
        <f>INDEX(PFE!$F$2:$F$252,MATCH($A138,PFE!$A$2:$A$252,0))</f>
        <v>23.42</v>
      </c>
      <c r="F138">
        <f>INDEX(PG!$F$2:$F$252,MATCH($A138,PG!$A$2:$A$252,0))</f>
        <v>156.46</v>
      </c>
      <c r="G138">
        <f>INDEX('S&amp;P 500'!$F$2:$F$251,MATCH($A138,'S&amp;P 500'!$A$2:$A$251,0))</f>
        <v>6141.02</v>
      </c>
    </row>
    <row r="139" spans="1:7" x14ac:dyDescent="0.3">
      <c r="A139" s="1">
        <v>45833</v>
      </c>
      <c r="B139" s="2">
        <v>127.53</v>
      </c>
      <c r="C139">
        <f>INDEX(V!$F$2:$F$252,MATCH($A139,V!$A$2:$A$252,0))</f>
        <v>343.97</v>
      </c>
      <c r="D139">
        <f>INDEX(XOM!$F$2:$F$252,MATCH($A139,XOM!$A$2:$A$252,0))</f>
        <v>106.44</v>
      </c>
      <c r="E139">
        <f>INDEX(PFE!$F$2:$F$252,MATCH($A139,PFE!$A$2:$A$252,0))</f>
        <v>23.44</v>
      </c>
      <c r="F139">
        <f>INDEX(PG!$F$2:$F$252,MATCH($A139,PG!$A$2:$A$252,0))</f>
        <v>156.79</v>
      </c>
      <c r="G139">
        <f>INDEX('S&amp;P 500'!$F$2:$F$251,MATCH($A139,'S&amp;P 500'!$A$2:$A$251,0))</f>
        <v>6092.16</v>
      </c>
    </row>
    <row r="140" spans="1:7" x14ac:dyDescent="0.3">
      <c r="A140" s="1">
        <v>45832</v>
      </c>
      <c r="B140" s="2">
        <v>127.91</v>
      </c>
      <c r="C140">
        <f>INDEX(V!$F$2:$F$252,MATCH($A140,V!$A$2:$A$252,0))</f>
        <v>350.32</v>
      </c>
      <c r="D140">
        <f>INDEX(XOM!$F$2:$F$252,MATCH($A140,XOM!$A$2:$A$252,0))</f>
        <v>106.41</v>
      </c>
      <c r="E140">
        <f>INDEX(PFE!$F$2:$F$252,MATCH($A140,PFE!$A$2:$A$252,0))</f>
        <v>23.48</v>
      </c>
      <c r="F140">
        <f>INDEX(PG!$F$2:$F$252,MATCH($A140,PG!$A$2:$A$252,0))</f>
        <v>158.16</v>
      </c>
      <c r="G140">
        <f>INDEX('S&amp;P 500'!$F$2:$F$251,MATCH($A140,'S&amp;P 500'!$A$2:$A$251,0))</f>
        <v>6092.18</v>
      </c>
    </row>
    <row r="141" spans="1:7" x14ac:dyDescent="0.3">
      <c r="A141" s="1">
        <v>45831</v>
      </c>
      <c r="B141" s="2">
        <v>125.35</v>
      </c>
      <c r="C141">
        <f>INDEX(V!$F$2:$F$252,MATCH($A141,V!$A$2:$A$252,0))</f>
        <v>342.47</v>
      </c>
      <c r="D141">
        <f>INDEX(XOM!$F$2:$F$252,MATCH($A141,XOM!$A$2:$A$252,0))</f>
        <v>109.75</v>
      </c>
      <c r="E141">
        <f>INDEX(PFE!$F$2:$F$252,MATCH($A141,PFE!$A$2:$A$252,0))</f>
        <v>23.21</v>
      </c>
      <c r="F141">
        <f>INDEX(PG!$F$2:$F$252,MATCH($A141,PG!$A$2:$A$252,0))</f>
        <v>158.83000000000001</v>
      </c>
      <c r="G141">
        <f>INDEX('S&amp;P 500'!$F$2:$F$251,MATCH($A141,'S&amp;P 500'!$A$2:$A$251,0))</f>
        <v>6025.17</v>
      </c>
    </row>
    <row r="142" spans="1:7" x14ac:dyDescent="0.3">
      <c r="A142" s="1">
        <v>45828</v>
      </c>
      <c r="B142" s="2">
        <v>123.14</v>
      </c>
      <c r="C142">
        <f>INDEX(V!$F$2:$F$252,MATCH($A142,V!$A$2:$A$252,0))</f>
        <v>337.31</v>
      </c>
      <c r="D142">
        <f>INDEX(XOM!$F$2:$F$252,MATCH($A142,XOM!$A$2:$A$252,0))</f>
        <v>112.66</v>
      </c>
      <c r="E142">
        <f>INDEX(PFE!$F$2:$F$252,MATCH($A142,PFE!$A$2:$A$252,0))</f>
        <v>23.16</v>
      </c>
      <c r="F142">
        <f>INDEX(PG!$F$2:$F$252,MATCH($A142,PG!$A$2:$A$252,0))</f>
        <v>156.9</v>
      </c>
      <c r="G142">
        <f>INDEX('S&amp;P 500'!$F$2:$F$251,MATCH($A142,'S&amp;P 500'!$A$2:$A$251,0))</f>
        <v>5967.84</v>
      </c>
    </row>
    <row r="143" spans="1:7" x14ac:dyDescent="0.3">
      <c r="A143" s="1">
        <v>45826</v>
      </c>
      <c r="B143" s="2">
        <v>122.23</v>
      </c>
      <c r="C143">
        <f>INDEX(V!$F$2:$F$252,MATCH($A143,V!$A$2:$A$252,0))</f>
        <v>339.11</v>
      </c>
      <c r="D143">
        <f>INDEX(XOM!$F$2:$F$252,MATCH($A143,XOM!$A$2:$A$252,0))</f>
        <v>111.17</v>
      </c>
      <c r="E143">
        <f>INDEX(PFE!$F$2:$F$252,MATCH($A143,PFE!$A$2:$A$252,0))</f>
        <v>23.07</v>
      </c>
      <c r="F143">
        <f>INDEX(PG!$F$2:$F$252,MATCH($A143,PG!$A$2:$A$252,0))</f>
        <v>155.86000000000001</v>
      </c>
      <c r="G143">
        <f>INDEX('S&amp;P 500'!$F$2:$F$251,MATCH($A143,'S&amp;P 500'!$A$2:$A$251,0))</f>
        <v>5980.87</v>
      </c>
    </row>
    <row r="144" spans="1:7" x14ac:dyDescent="0.3">
      <c r="A144" s="1">
        <v>45825</v>
      </c>
      <c r="B144" s="2">
        <v>122.07</v>
      </c>
      <c r="C144">
        <f>INDEX(V!$F$2:$F$252,MATCH($A144,V!$A$2:$A$252,0))</f>
        <v>356.51</v>
      </c>
      <c r="D144">
        <f>INDEX(XOM!$F$2:$F$252,MATCH($A144,XOM!$A$2:$A$252,0))</f>
        <v>111.97</v>
      </c>
      <c r="E144">
        <f>INDEX(PFE!$F$2:$F$252,MATCH($A144,PFE!$A$2:$A$252,0))</f>
        <v>23.18</v>
      </c>
      <c r="F144">
        <f>INDEX(PG!$F$2:$F$252,MATCH($A144,PG!$A$2:$A$252,0))</f>
        <v>156.35</v>
      </c>
      <c r="G144">
        <f>INDEX('S&amp;P 500'!$F$2:$F$251,MATCH($A144,'S&amp;P 500'!$A$2:$A$251,0))</f>
        <v>5982.72</v>
      </c>
    </row>
    <row r="145" spans="1:7" x14ac:dyDescent="0.3">
      <c r="A145" s="1">
        <v>45824</v>
      </c>
      <c r="B145" s="2">
        <v>122.54</v>
      </c>
      <c r="C145">
        <f>INDEX(V!$F$2:$F$252,MATCH($A145,V!$A$2:$A$252,0))</f>
        <v>354.15</v>
      </c>
      <c r="D145">
        <f>INDEX(XOM!$F$2:$F$252,MATCH($A145,XOM!$A$2:$A$252,0))</f>
        <v>110.48</v>
      </c>
      <c r="E145">
        <f>INDEX(PFE!$F$2:$F$252,MATCH($A145,PFE!$A$2:$A$252,0))</f>
        <v>23.57</v>
      </c>
      <c r="F145">
        <f>INDEX(PG!$F$2:$F$252,MATCH($A145,PG!$A$2:$A$252,0))</f>
        <v>158.68</v>
      </c>
      <c r="G145">
        <f>INDEX('S&amp;P 500'!$F$2:$F$251,MATCH($A145,'S&amp;P 500'!$A$2:$A$251,0))</f>
        <v>6033.11</v>
      </c>
    </row>
    <row r="146" spans="1:7" x14ac:dyDescent="0.3">
      <c r="A146" s="1">
        <v>45821</v>
      </c>
      <c r="B146" s="2">
        <v>121.21</v>
      </c>
      <c r="C146">
        <f>INDEX(V!$F$2:$F$252,MATCH($A146,V!$A$2:$A$252,0))</f>
        <v>351.53</v>
      </c>
      <c r="D146">
        <f>INDEX(XOM!$F$2:$F$252,MATCH($A146,XOM!$A$2:$A$252,0))</f>
        <v>110.12</v>
      </c>
      <c r="E146">
        <f>INDEX(PFE!$F$2:$F$252,MATCH($A146,PFE!$A$2:$A$252,0))</f>
        <v>23.71</v>
      </c>
      <c r="F146">
        <f>INDEX(PG!$F$2:$F$252,MATCH($A146,PG!$A$2:$A$252,0))</f>
        <v>158.09</v>
      </c>
      <c r="G146">
        <f>INDEX('S&amp;P 500'!$F$2:$F$251,MATCH($A146,'S&amp;P 500'!$A$2:$A$251,0))</f>
        <v>5976.97</v>
      </c>
    </row>
    <row r="147" spans="1:7" x14ac:dyDescent="0.3">
      <c r="A147" s="1">
        <v>45820</v>
      </c>
      <c r="B147" s="2">
        <v>121.5</v>
      </c>
      <c r="C147">
        <f>INDEX(V!$F$2:$F$252,MATCH($A147,V!$A$2:$A$252,0))</f>
        <v>370.01</v>
      </c>
      <c r="D147">
        <f>INDEX(XOM!$F$2:$F$252,MATCH($A147,XOM!$A$2:$A$252,0))</f>
        <v>107.78</v>
      </c>
      <c r="E147">
        <f>INDEX(PFE!$F$2:$F$252,MATCH($A147,PFE!$A$2:$A$252,0))</f>
        <v>24</v>
      </c>
      <c r="F147">
        <f>INDEX(PG!$F$2:$F$252,MATCH($A147,PG!$A$2:$A$252,0))</f>
        <v>160.94999999999999</v>
      </c>
      <c r="G147">
        <f>INDEX('S&amp;P 500'!$F$2:$F$251,MATCH($A147,'S&amp;P 500'!$A$2:$A$251,0))</f>
        <v>6045.26</v>
      </c>
    </row>
    <row r="148" spans="1:7" x14ac:dyDescent="0.3">
      <c r="A148" s="1">
        <v>45819</v>
      </c>
      <c r="B148" s="2">
        <v>121.99</v>
      </c>
      <c r="C148">
        <f>INDEX(V!$F$2:$F$252,MATCH($A148,V!$A$2:$A$252,0))</f>
        <v>371.92</v>
      </c>
      <c r="D148">
        <f>INDEX(XOM!$F$2:$F$252,MATCH($A148,XOM!$A$2:$A$252,0))</f>
        <v>107.36</v>
      </c>
      <c r="E148">
        <f>INDEX(PFE!$F$2:$F$252,MATCH($A148,PFE!$A$2:$A$252,0))</f>
        <v>23.65</v>
      </c>
      <c r="F148">
        <f>INDEX(PG!$F$2:$F$252,MATCH($A148,PG!$A$2:$A$252,0))</f>
        <v>159.88999999999999</v>
      </c>
      <c r="G148">
        <f>INDEX('S&amp;P 500'!$F$2:$F$251,MATCH($A148,'S&amp;P 500'!$A$2:$A$251,0))</f>
        <v>6022.24</v>
      </c>
    </row>
    <row r="149" spans="1:7" x14ac:dyDescent="0.3">
      <c r="A149" s="1">
        <v>45818</v>
      </c>
      <c r="B149" s="2">
        <v>120.36</v>
      </c>
      <c r="C149">
        <f>INDEX(V!$F$2:$F$252,MATCH($A149,V!$A$2:$A$252,0))</f>
        <v>369.32</v>
      </c>
      <c r="D149">
        <f>INDEX(XOM!$F$2:$F$252,MATCH($A149,XOM!$A$2:$A$252,0))</f>
        <v>105.31</v>
      </c>
      <c r="E149">
        <f>INDEX(PFE!$F$2:$F$252,MATCH($A149,PFE!$A$2:$A$252,0))</f>
        <v>23.47</v>
      </c>
      <c r="F149">
        <f>INDEX(PG!$F$2:$F$252,MATCH($A149,PG!$A$2:$A$252,0))</f>
        <v>160.61000000000001</v>
      </c>
      <c r="G149">
        <f>INDEX('S&amp;P 500'!$F$2:$F$251,MATCH($A149,'S&amp;P 500'!$A$2:$A$251,0))</f>
        <v>6038.81</v>
      </c>
    </row>
    <row r="150" spans="1:7" x14ac:dyDescent="0.3">
      <c r="A150" s="1">
        <v>45817</v>
      </c>
      <c r="B150" s="2">
        <v>122.45</v>
      </c>
      <c r="C150">
        <f>INDEX(V!$F$2:$F$252,MATCH($A150,V!$A$2:$A$252,0))</f>
        <v>365.29</v>
      </c>
      <c r="D150">
        <f>INDEX(XOM!$F$2:$F$252,MATCH($A150,XOM!$A$2:$A$252,0))</f>
        <v>103.1</v>
      </c>
      <c r="E150">
        <f>INDEX(PFE!$F$2:$F$252,MATCH($A150,PFE!$A$2:$A$252,0))</f>
        <v>23.16</v>
      </c>
      <c r="F150">
        <f>INDEX(PG!$F$2:$F$252,MATCH($A150,PG!$A$2:$A$252,0))</f>
        <v>160.33000000000001</v>
      </c>
      <c r="G150">
        <f>INDEX('S&amp;P 500'!$F$2:$F$251,MATCH($A150,'S&amp;P 500'!$A$2:$A$251,0))</f>
        <v>6005.88</v>
      </c>
    </row>
    <row r="151" spans="1:7" x14ac:dyDescent="0.3">
      <c r="A151" s="1">
        <v>45814</v>
      </c>
      <c r="B151" s="2">
        <v>124.15</v>
      </c>
      <c r="C151">
        <f>INDEX(V!$F$2:$F$252,MATCH($A151,V!$A$2:$A$252,0))</f>
        <v>368.84</v>
      </c>
      <c r="D151">
        <f>INDEX(XOM!$F$2:$F$252,MATCH($A151,XOM!$A$2:$A$252,0))</f>
        <v>102.41</v>
      </c>
      <c r="E151">
        <f>INDEX(PFE!$F$2:$F$252,MATCH($A151,PFE!$A$2:$A$252,0))</f>
        <v>22.56</v>
      </c>
      <c r="F151">
        <f>INDEX(PG!$F$2:$F$252,MATCH($A151,PG!$A$2:$A$252,0))</f>
        <v>161.77000000000001</v>
      </c>
      <c r="G151">
        <f>INDEX('S&amp;P 500'!$F$2:$F$251,MATCH($A151,'S&amp;P 500'!$A$2:$A$251,0))</f>
        <v>6000.36</v>
      </c>
    </row>
    <row r="152" spans="1:7" x14ac:dyDescent="0.3">
      <c r="A152" s="1">
        <v>45813</v>
      </c>
      <c r="B152" s="2">
        <v>125.05</v>
      </c>
      <c r="C152">
        <f>INDEX(V!$F$2:$F$252,MATCH($A152,V!$A$2:$A$252,0))</f>
        <v>365.4</v>
      </c>
      <c r="D152">
        <f>INDEX(XOM!$F$2:$F$252,MATCH($A152,XOM!$A$2:$A$252,0))</f>
        <v>100.02</v>
      </c>
      <c r="E152">
        <f>INDEX(PFE!$F$2:$F$252,MATCH($A152,PFE!$A$2:$A$252,0))</f>
        <v>22.33</v>
      </c>
      <c r="F152">
        <f>INDEX(PG!$F$2:$F$252,MATCH($A152,PG!$A$2:$A$252,0))</f>
        <v>160.57</v>
      </c>
      <c r="G152">
        <f>INDEX('S&amp;P 500'!$F$2:$F$251,MATCH($A152,'S&amp;P 500'!$A$2:$A$251,0))</f>
        <v>5939.3</v>
      </c>
    </row>
    <row r="153" spans="1:7" x14ac:dyDescent="0.3">
      <c r="A153" s="1">
        <v>45812</v>
      </c>
      <c r="B153" s="2">
        <v>123.97</v>
      </c>
      <c r="C153">
        <f>INDEX(V!$F$2:$F$252,MATCH($A153,V!$A$2:$A$252,0))</f>
        <v>366.63</v>
      </c>
      <c r="D153">
        <f>INDEX(XOM!$F$2:$F$252,MATCH($A153,XOM!$A$2:$A$252,0))</f>
        <v>100.48</v>
      </c>
      <c r="E153">
        <f>INDEX(PFE!$F$2:$F$252,MATCH($A153,PFE!$A$2:$A$252,0))</f>
        <v>22.6</v>
      </c>
      <c r="F153">
        <f>INDEX(PG!$F$2:$F$252,MATCH($A153,PG!$A$2:$A$252,0))</f>
        <v>163.68</v>
      </c>
      <c r="G153">
        <f>INDEX('S&amp;P 500'!$F$2:$F$251,MATCH($A153,'S&amp;P 500'!$A$2:$A$251,0))</f>
        <v>5970.81</v>
      </c>
    </row>
    <row r="154" spans="1:7" x14ac:dyDescent="0.3">
      <c r="A154" s="1">
        <v>45811</v>
      </c>
      <c r="B154" s="2">
        <v>121.79</v>
      </c>
      <c r="C154">
        <f>INDEX(V!$F$2:$F$252,MATCH($A154,V!$A$2:$A$252,0))</f>
        <v>364.5</v>
      </c>
      <c r="D154">
        <f>INDEX(XOM!$F$2:$F$252,MATCH($A154,XOM!$A$2:$A$252,0))</f>
        <v>101.95</v>
      </c>
      <c r="E154">
        <f>INDEX(PFE!$F$2:$F$252,MATCH($A154,PFE!$A$2:$A$252,0))</f>
        <v>22.56</v>
      </c>
      <c r="F154">
        <f>INDEX(PG!$F$2:$F$252,MATCH($A154,PG!$A$2:$A$252,0))</f>
        <v>164.57</v>
      </c>
      <c r="G154">
        <f>INDEX('S&amp;P 500'!$F$2:$F$251,MATCH($A154,'S&amp;P 500'!$A$2:$A$251,0))</f>
        <v>5970.37</v>
      </c>
    </row>
    <row r="155" spans="1:7" x14ac:dyDescent="0.3">
      <c r="A155" s="1">
        <v>45810</v>
      </c>
      <c r="B155" s="2">
        <v>121.9</v>
      </c>
      <c r="C155">
        <f>INDEX(V!$F$2:$F$252,MATCH($A155,V!$A$2:$A$252,0))</f>
        <v>363.96</v>
      </c>
      <c r="D155">
        <f>INDEX(XOM!$F$2:$F$252,MATCH($A155,XOM!$A$2:$A$252,0))</f>
        <v>101.21</v>
      </c>
      <c r="E155">
        <f>INDEX(PFE!$F$2:$F$252,MATCH($A155,PFE!$A$2:$A$252,0))</f>
        <v>22.66</v>
      </c>
      <c r="F155">
        <f>INDEX(PG!$F$2:$F$252,MATCH($A155,PG!$A$2:$A$252,0))</f>
        <v>165.48</v>
      </c>
      <c r="G155">
        <f>INDEX('S&amp;P 500'!$F$2:$F$251,MATCH($A155,'S&amp;P 500'!$A$2:$A$251,0))</f>
        <v>5935.94</v>
      </c>
    </row>
    <row r="156" spans="1:7" x14ac:dyDescent="0.3">
      <c r="A156" s="1">
        <v>45807</v>
      </c>
      <c r="B156" s="2">
        <v>120.72</v>
      </c>
      <c r="C156">
        <f>INDEX(V!$F$2:$F$252,MATCH($A156,V!$A$2:$A$252,0))</f>
        <v>363.83</v>
      </c>
      <c r="D156">
        <f>INDEX(XOM!$F$2:$F$252,MATCH($A156,XOM!$A$2:$A$252,0))</f>
        <v>100.48</v>
      </c>
      <c r="E156">
        <f>INDEX(PFE!$F$2:$F$252,MATCH($A156,PFE!$A$2:$A$252,0))</f>
        <v>22.69</v>
      </c>
      <c r="F156">
        <f>INDEX(PG!$F$2:$F$252,MATCH($A156,PG!$A$2:$A$252,0))</f>
        <v>167.56</v>
      </c>
      <c r="G156">
        <f>INDEX('S&amp;P 500'!$F$2:$F$251,MATCH($A156,'S&amp;P 500'!$A$2:$A$251,0))</f>
        <v>5911.69</v>
      </c>
    </row>
    <row r="157" spans="1:7" x14ac:dyDescent="0.3">
      <c r="A157" s="1">
        <v>45806</v>
      </c>
      <c r="B157" s="2">
        <v>118.49</v>
      </c>
      <c r="C157">
        <f>INDEX(V!$F$2:$F$252,MATCH($A157,V!$A$2:$A$252,0))</f>
        <v>361.05</v>
      </c>
      <c r="D157">
        <f>INDEX(XOM!$F$2:$F$252,MATCH($A157,XOM!$A$2:$A$252,0))</f>
        <v>100.86</v>
      </c>
      <c r="E157">
        <f>INDEX(PFE!$F$2:$F$252,MATCH($A157,PFE!$A$2:$A$252,0))</f>
        <v>22.65</v>
      </c>
      <c r="F157">
        <f>INDEX(PG!$F$2:$F$252,MATCH($A157,PG!$A$2:$A$252,0))</f>
        <v>166.25</v>
      </c>
      <c r="G157">
        <f>INDEX('S&amp;P 500'!$F$2:$F$251,MATCH($A157,'S&amp;P 500'!$A$2:$A$251,0))</f>
        <v>5912.17</v>
      </c>
    </row>
    <row r="158" spans="1:7" x14ac:dyDescent="0.3">
      <c r="A158" s="1">
        <v>45805</v>
      </c>
      <c r="B158" s="2">
        <v>120.86</v>
      </c>
      <c r="C158">
        <f>INDEX(V!$F$2:$F$252,MATCH($A158,V!$A$2:$A$252,0))</f>
        <v>358.39</v>
      </c>
      <c r="D158">
        <f>INDEX(XOM!$F$2:$F$252,MATCH($A158,XOM!$A$2:$A$252,0))</f>
        <v>100.29</v>
      </c>
      <c r="E158">
        <f>INDEX(PFE!$F$2:$F$252,MATCH($A158,PFE!$A$2:$A$252,0))</f>
        <v>22.39</v>
      </c>
      <c r="F158">
        <f>INDEX(PG!$F$2:$F$252,MATCH($A158,PG!$A$2:$A$252,0))</f>
        <v>165.07</v>
      </c>
      <c r="G158">
        <f>INDEX('S&amp;P 500'!$F$2:$F$251,MATCH($A158,'S&amp;P 500'!$A$2:$A$251,0))</f>
        <v>5888.55</v>
      </c>
    </row>
    <row r="159" spans="1:7" x14ac:dyDescent="0.3">
      <c r="A159" s="1">
        <v>45804</v>
      </c>
      <c r="B159" s="2">
        <v>121.16</v>
      </c>
      <c r="C159">
        <f>INDEX(V!$F$2:$F$252,MATCH($A159,V!$A$2:$A$252,0))</f>
        <v>357.96</v>
      </c>
      <c r="D159">
        <f>INDEX(XOM!$F$2:$F$252,MATCH($A159,XOM!$A$2:$A$252,0))</f>
        <v>101.68</v>
      </c>
      <c r="E159">
        <f>INDEX(PFE!$F$2:$F$252,MATCH($A159,PFE!$A$2:$A$252,0))</f>
        <v>22.81</v>
      </c>
      <c r="F159">
        <f>INDEX(PG!$F$2:$F$252,MATCH($A159,PG!$A$2:$A$252,0))</f>
        <v>165.46</v>
      </c>
      <c r="G159">
        <f>INDEX('S&amp;P 500'!$F$2:$F$251,MATCH($A159,'S&amp;P 500'!$A$2:$A$251,0))</f>
        <v>5921.54</v>
      </c>
    </row>
    <row r="160" spans="1:7" x14ac:dyDescent="0.3">
      <c r="A160" s="1">
        <v>45800</v>
      </c>
      <c r="B160" s="2">
        <v>118.54</v>
      </c>
      <c r="C160">
        <f>INDEX(V!$F$2:$F$252,MATCH($A160,V!$A$2:$A$252,0))</f>
        <v>352.22</v>
      </c>
      <c r="D160">
        <f>INDEX(XOM!$F$2:$F$252,MATCH($A160,XOM!$A$2:$A$252,0))</f>
        <v>101.19</v>
      </c>
      <c r="E160">
        <f>INDEX(PFE!$F$2:$F$252,MATCH($A160,PFE!$A$2:$A$252,0))</f>
        <v>22.53</v>
      </c>
      <c r="F160">
        <f>INDEX(PG!$F$2:$F$252,MATCH($A160,PG!$A$2:$A$252,0))</f>
        <v>163.59</v>
      </c>
      <c r="G160">
        <f>INDEX('S&amp;P 500'!$F$2:$F$251,MATCH($A160,'S&amp;P 500'!$A$2:$A$251,0))</f>
        <v>5802.82</v>
      </c>
    </row>
    <row r="161" spans="1:7" x14ac:dyDescent="0.3">
      <c r="A161" s="1">
        <v>45799</v>
      </c>
      <c r="B161" s="2">
        <v>118.8</v>
      </c>
      <c r="C161">
        <f>INDEX(V!$F$2:$F$252,MATCH($A161,V!$A$2:$A$252,0))</f>
        <v>356.63</v>
      </c>
      <c r="D161">
        <f>INDEX(XOM!$F$2:$F$252,MATCH($A161,XOM!$A$2:$A$252,0))</f>
        <v>101.14</v>
      </c>
      <c r="E161">
        <f>INDEX(PFE!$F$2:$F$252,MATCH($A161,PFE!$A$2:$A$252,0))</f>
        <v>22.26</v>
      </c>
      <c r="F161">
        <f>INDEX(PG!$F$2:$F$252,MATCH($A161,PG!$A$2:$A$252,0))</f>
        <v>162.77000000000001</v>
      </c>
      <c r="G161">
        <f>INDEX('S&amp;P 500'!$F$2:$F$251,MATCH($A161,'S&amp;P 500'!$A$2:$A$251,0))</f>
        <v>5842.01</v>
      </c>
    </row>
    <row r="162" spans="1:7" x14ac:dyDescent="0.3">
      <c r="A162" s="1">
        <v>45798</v>
      </c>
      <c r="B162" s="2">
        <v>119.46</v>
      </c>
      <c r="C162">
        <f>INDEX(V!$F$2:$F$252,MATCH($A162,V!$A$2:$A$252,0))</f>
        <v>356.96</v>
      </c>
      <c r="D162">
        <f>INDEX(XOM!$F$2:$F$252,MATCH($A162,XOM!$A$2:$A$252,0))</f>
        <v>101.81</v>
      </c>
      <c r="E162">
        <f>INDEX(PFE!$F$2:$F$252,MATCH($A162,PFE!$A$2:$A$252,0))</f>
        <v>22.26</v>
      </c>
      <c r="F162">
        <f>INDEX(PG!$F$2:$F$252,MATCH($A162,PG!$A$2:$A$252,0))</f>
        <v>163.16999999999999</v>
      </c>
      <c r="G162">
        <f>INDEX('S&amp;P 500'!$F$2:$F$251,MATCH($A162,'S&amp;P 500'!$A$2:$A$251,0))</f>
        <v>5844.61</v>
      </c>
    </row>
    <row r="163" spans="1:7" x14ac:dyDescent="0.3">
      <c r="A163" s="1">
        <v>45797</v>
      </c>
      <c r="B163" s="2">
        <v>119.2</v>
      </c>
      <c r="C163">
        <f>INDEX(V!$F$2:$F$252,MATCH($A163,V!$A$2:$A$252,0))</f>
        <v>365.47</v>
      </c>
      <c r="D163">
        <f>INDEX(XOM!$F$2:$F$252,MATCH($A163,XOM!$A$2:$A$252,0))</f>
        <v>103.08</v>
      </c>
      <c r="E163">
        <f>INDEX(PFE!$F$2:$F$252,MATCH($A163,PFE!$A$2:$A$252,0))</f>
        <v>22.72</v>
      </c>
      <c r="F163">
        <f>INDEX(PG!$F$2:$F$252,MATCH($A163,PG!$A$2:$A$252,0))</f>
        <v>163.37</v>
      </c>
      <c r="G163">
        <f>INDEX('S&amp;P 500'!$F$2:$F$251,MATCH($A163,'S&amp;P 500'!$A$2:$A$251,0))</f>
        <v>5940.46</v>
      </c>
    </row>
    <row r="164" spans="1:7" x14ac:dyDescent="0.3">
      <c r="A164" s="1">
        <v>45796</v>
      </c>
      <c r="B164" s="2">
        <v>119.16</v>
      </c>
      <c r="C164">
        <f>INDEX(V!$F$2:$F$252,MATCH($A164,V!$A$2:$A$252,0))</f>
        <v>366.53</v>
      </c>
      <c r="D164">
        <f>INDEX(XOM!$F$2:$F$252,MATCH($A164,XOM!$A$2:$A$252,0))</f>
        <v>104.57</v>
      </c>
      <c r="E164">
        <f>INDEX(PFE!$F$2:$F$252,MATCH($A164,PFE!$A$2:$A$252,0))</f>
        <v>22.22</v>
      </c>
      <c r="F164">
        <f>INDEX(PG!$F$2:$F$252,MATCH($A164,PG!$A$2:$A$252,0))</f>
        <v>162.51</v>
      </c>
      <c r="G164">
        <f>INDEX('S&amp;P 500'!$F$2:$F$251,MATCH($A164,'S&amp;P 500'!$A$2:$A$251,0))</f>
        <v>5963.6</v>
      </c>
    </row>
    <row r="165" spans="1:7" x14ac:dyDescent="0.3">
      <c r="A165" s="1">
        <v>45793</v>
      </c>
      <c r="B165" s="2">
        <v>119.15</v>
      </c>
      <c r="C165">
        <f>INDEX(V!$F$2:$F$252,MATCH($A165,V!$A$2:$A$252,0))</f>
        <v>363.76</v>
      </c>
      <c r="D165">
        <f>INDEX(XOM!$F$2:$F$252,MATCH($A165,XOM!$A$2:$A$252,0))</f>
        <v>106.26</v>
      </c>
      <c r="E165">
        <f>INDEX(PFE!$F$2:$F$252,MATCH($A165,PFE!$A$2:$A$252,0))</f>
        <v>22.05</v>
      </c>
      <c r="F165">
        <f>INDEX(PG!$F$2:$F$252,MATCH($A165,PG!$A$2:$A$252,0))</f>
        <v>161.04</v>
      </c>
      <c r="G165">
        <f>INDEX('S&amp;P 500'!$F$2:$F$251,MATCH($A165,'S&amp;P 500'!$A$2:$A$251,0))</f>
        <v>5958.38</v>
      </c>
    </row>
    <row r="166" spans="1:7" x14ac:dyDescent="0.3">
      <c r="A166" s="1">
        <v>45792</v>
      </c>
      <c r="B166" s="2">
        <v>117.8</v>
      </c>
      <c r="C166">
        <f>INDEX(V!$F$2:$F$252,MATCH($A166,V!$A$2:$A$252,0))</f>
        <v>360.95</v>
      </c>
      <c r="D166">
        <f>INDEX(XOM!$F$2:$F$252,MATCH($A166,XOM!$A$2:$A$252,0))</f>
        <v>106.65</v>
      </c>
      <c r="E166">
        <f>INDEX(PFE!$F$2:$F$252,MATCH($A166,PFE!$A$2:$A$252,0))</f>
        <v>21.83</v>
      </c>
      <c r="F166">
        <f>INDEX(PG!$F$2:$F$252,MATCH($A166,PG!$A$2:$A$252,0))</f>
        <v>160.19</v>
      </c>
      <c r="G166">
        <f>INDEX('S&amp;P 500'!$F$2:$F$251,MATCH($A166,'S&amp;P 500'!$A$2:$A$251,0))</f>
        <v>5916.93</v>
      </c>
    </row>
    <row r="167" spans="1:7" x14ac:dyDescent="0.3">
      <c r="A167" s="1">
        <v>45791</v>
      </c>
      <c r="B167" s="2">
        <v>115.1</v>
      </c>
      <c r="C167">
        <f>INDEX(V!$F$2:$F$252,MATCH($A167,V!$A$2:$A$252,0))</f>
        <v>355.13</v>
      </c>
      <c r="D167">
        <f>INDEX(XOM!$F$2:$F$252,MATCH($A167,XOM!$A$2:$A$252,0))</f>
        <v>105.58</v>
      </c>
      <c r="E167">
        <f>INDEX(PFE!$F$2:$F$252,MATCH($A167,PFE!$A$2:$A$252,0))</f>
        <v>21.27</v>
      </c>
      <c r="F167">
        <f>INDEX(PG!$F$2:$F$252,MATCH($A167,PG!$A$2:$A$252,0))</f>
        <v>155.86000000000001</v>
      </c>
      <c r="G167">
        <f>INDEX('S&amp;P 500'!$F$2:$F$251,MATCH($A167,'S&amp;P 500'!$A$2:$A$251,0))</f>
        <v>5892.58</v>
      </c>
    </row>
    <row r="168" spans="1:7" x14ac:dyDescent="0.3">
      <c r="A168" s="1">
        <v>45790</v>
      </c>
      <c r="B168" s="2">
        <v>113.84</v>
      </c>
      <c r="C168">
        <f>INDEX(V!$F$2:$F$252,MATCH($A168,V!$A$2:$A$252,0))</f>
        <v>354.81</v>
      </c>
      <c r="D168">
        <f>INDEX(XOM!$F$2:$F$252,MATCH($A168,XOM!$A$2:$A$252,0))</f>
        <v>106.53</v>
      </c>
      <c r="E168">
        <f>INDEX(PFE!$F$2:$F$252,MATCH($A168,PFE!$A$2:$A$252,0))</f>
        <v>22.09</v>
      </c>
      <c r="F168">
        <f>INDEX(PG!$F$2:$F$252,MATCH($A168,PG!$A$2:$A$252,0))</f>
        <v>156.56</v>
      </c>
      <c r="G168">
        <f>INDEX('S&amp;P 500'!$F$2:$F$251,MATCH($A168,'S&amp;P 500'!$A$2:$A$251,0))</f>
        <v>5886.55</v>
      </c>
    </row>
    <row r="169" spans="1:7" x14ac:dyDescent="0.3">
      <c r="A169" s="1">
        <v>45789</v>
      </c>
      <c r="B169" s="2">
        <v>111</v>
      </c>
      <c r="C169">
        <f>INDEX(V!$F$2:$F$252,MATCH($A169,V!$A$2:$A$252,0))</f>
        <v>353.93</v>
      </c>
      <c r="D169">
        <f>INDEX(XOM!$F$2:$F$252,MATCH($A169,XOM!$A$2:$A$252,0))</f>
        <v>106.24</v>
      </c>
      <c r="E169">
        <f>INDEX(PFE!$F$2:$F$252,MATCH($A169,PFE!$A$2:$A$252,0))</f>
        <v>22.31</v>
      </c>
      <c r="F169">
        <f>INDEX(PG!$F$2:$F$252,MATCH($A169,PG!$A$2:$A$252,0))</f>
        <v>158.69999999999999</v>
      </c>
      <c r="G169">
        <f>INDEX('S&amp;P 500'!$F$2:$F$251,MATCH($A169,'S&amp;P 500'!$A$2:$A$251,0))</f>
        <v>5844.19</v>
      </c>
    </row>
    <row r="170" spans="1:7" x14ac:dyDescent="0.3">
      <c r="A170" s="1">
        <v>45786</v>
      </c>
      <c r="B170" s="2">
        <v>114.02</v>
      </c>
      <c r="C170">
        <f>INDEX(V!$F$2:$F$252,MATCH($A170,V!$A$2:$A$252,0))</f>
        <v>350.64</v>
      </c>
      <c r="D170">
        <f>INDEX(XOM!$F$2:$F$252,MATCH($A170,XOM!$A$2:$A$252,0))</f>
        <v>104.44</v>
      </c>
      <c r="E170">
        <f>INDEX(PFE!$F$2:$F$252,MATCH($A170,PFE!$A$2:$A$252,0))</f>
        <v>21.52</v>
      </c>
      <c r="F170">
        <f>INDEX(PG!$F$2:$F$252,MATCH($A170,PG!$A$2:$A$252,0))</f>
        <v>155.5</v>
      </c>
      <c r="G170">
        <f>INDEX('S&amp;P 500'!$F$2:$F$251,MATCH($A170,'S&amp;P 500'!$A$2:$A$251,0))</f>
        <v>5659.91</v>
      </c>
    </row>
    <row r="171" spans="1:7" x14ac:dyDescent="0.3">
      <c r="A171" s="1">
        <v>45785</v>
      </c>
      <c r="B171" s="2">
        <v>114.44</v>
      </c>
      <c r="C171">
        <f>INDEX(V!$F$2:$F$252,MATCH($A171,V!$A$2:$A$252,0))</f>
        <v>349.38</v>
      </c>
      <c r="D171">
        <f>INDEX(XOM!$F$2:$F$252,MATCH($A171,XOM!$A$2:$A$252,0))</f>
        <v>103.23</v>
      </c>
      <c r="E171">
        <f>INDEX(PFE!$F$2:$F$252,MATCH($A171,PFE!$A$2:$A$252,0))</f>
        <v>21.77</v>
      </c>
      <c r="F171">
        <f>INDEX(PG!$F$2:$F$252,MATCH($A171,PG!$A$2:$A$252,0))</f>
        <v>156.47999999999999</v>
      </c>
      <c r="G171">
        <f>INDEX('S&amp;P 500'!$F$2:$F$251,MATCH($A171,'S&amp;P 500'!$A$2:$A$251,0))</f>
        <v>5663.94</v>
      </c>
    </row>
    <row r="172" spans="1:7" x14ac:dyDescent="0.3">
      <c r="A172" s="1">
        <v>45784</v>
      </c>
      <c r="B172" s="2">
        <v>115.54</v>
      </c>
      <c r="C172">
        <f>INDEX(V!$F$2:$F$252,MATCH($A172,V!$A$2:$A$252,0))</f>
        <v>347.97</v>
      </c>
      <c r="D172">
        <f>INDEX(XOM!$F$2:$F$252,MATCH($A172,XOM!$A$2:$A$252,0))</f>
        <v>101.81</v>
      </c>
      <c r="E172">
        <f>INDEX(PFE!$F$2:$F$252,MATCH($A172,PFE!$A$2:$A$252,0))</f>
        <v>21.6</v>
      </c>
      <c r="F172">
        <f>INDEX(PG!$F$2:$F$252,MATCH($A172,PG!$A$2:$A$252,0))</f>
        <v>157.11000000000001</v>
      </c>
      <c r="G172">
        <f>INDEX('S&amp;P 500'!$F$2:$F$251,MATCH($A172,'S&amp;P 500'!$A$2:$A$251,0))</f>
        <v>5631.28</v>
      </c>
    </row>
    <row r="173" spans="1:7" x14ac:dyDescent="0.3">
      <c r="A173" s="1">
        <v>45783</v>
      </c>
      <c r="B173" s="2">
        <v>113.77</v>
      </c>
      <c r="C173">
        <f>INDEX(V!$F$2:$F$252,MATCH($A173,V!$A$2:$A$252,0))</f>
        <v>345.83</v>
      </c>
      <c r="D173">
        <f>INDEX(XOM!$F$2:$F$252,MATCH($A173,XOM!$A$2:$A$252,0))</f>
        <v>101.91</v>
      </c>
      <c r="E173">
        <f>INDEX(PFE!$F$2:$F$252,MATCH($A173,PFE!$A$2:$A$252,0))</f>
        <v>21.69</v>
      </c>
      <c r="F173">
        <f>INDEX(PG!$F$2:$F$252,MATCH($A173,PG!$A$2:$A$252,0))</f>
        <v>157.07</v>
      </c>
      <c r="G173">
        <f>INDEX('S&amp;P 500'!$F$2:$F$251,MATCH($A173,'S&amp;P 500'!$A$2:$A$251,0))</f>
        <v>5606.91</v>
      </c>
    </row>
    <row r="174" spans="1:7" x14ac:dyDescent="0.3">
      <c r="A174" s="1">
        <v>45782</v>
      </c>
      <c r="B174" s="2">
        <v>113.41</v>
      </c>
      <c r="C174">
        <f>INDEX(V!$F$2:$F$252,MATCH($A174,V!$A$2:$A$252,0))</f>
        <v>346.76</v>
      </c>
      <c r="D174">
        <f>INDEX(XOM!$F$2:$F$252,MATCH($A174,XOM!$A$2:$A$252,0))</f>
        <v>100.51</v>
      </c>
      <c r="E174">
        <f>INDEX(PFE!$F$2:$F$252,MATCH($A174,PFE!$A$2:$A$252,0))</f>
        <v>22.63</v>
      </c>
      <c r="F174">
        <f>INDEX(PG!$F$2:$F$252,MATCH($A174,PG!$A$2:$A$252,0))</f>
        <v>156.66</v>
      </c>
      <c r="G174">
        <f>INDEX('S&amp;P 500'!$F$2:$F$251,MATCH($A174,'S&amp;P 500'!$A$2:$A$251,0))</f>
        <v>5650.38</v>
      </c>
    </row>
    <row r="175" spans="1:7" x14ac:dyDescent="0.3">
      <c r="A175" s="1">
        <v>45779</v>
      </c>
      <c r="B175" s="2">
        <v>115.65</v>
      </c>
      <c r="C175">
        <f>INDEX(V!$F$2:$F$252,MATCH($A175,V!$A$2:$A$252,0))</f>
        <v>345.73</v>
      </c>
      <c r="D175">
        <f>INDEX(XOM!$F$2:$F$252,MATCH($A175,XOM!$A$2:$A$252,0))</f>
        <v>103.37</v>
      </c>
      <c r="E175">
        <f>INDEX(PFE!$F$2:$F$252,MATCH($A175,PFE!$A$2:$A$252,0))</f>
        <v>22.94</v>
      </c>
      <c r="F175">
        <f>INDEX(PG!$F$2:$F$252,MATCH($A175,PG!$A$2:$A$252,0))</f>
        <v>158.32</v>
      </c>
      <c r="G175">
        <f>INDEX('S&amp;P 500'!$F$2:$F$251,MATCH($A175,'S&amp;P 500'!$A$2:$A$251,0))</f>
        <v>5686.67</v>
      </c>
    </row>
    <row r="176" spans="1:7" x14ac:dyDescent="0.3">
      <c r="A176" s="1">
        <v>45778</v>
      </c>
      <c r="B176" s="2">
        <v>113.35</v>
      </c>
      <c r="C176">
        <f>INDEX(V!$F$2:$F$252,MATCH($A176,V!$A$2:$A$252,0))</f>
        <v>340.61</v>
      </c>
      <c r="D176">
        <f>INDEX(XOM!$F$2:$F$252,MATCH($A176,XOM!$A$2:$A$252,0))</f>
        <v>102.95</v>
      </c>
      <c r="E176">
        <f>INDEX(PFE!$F$2:$F$252,MATCH($A176,PFE!$A$2:$A$252,0))</f>
        <v>22.68</v>
      </c>
      <c r="F176">
        <f>INDEX(PG!$F$2:$F$252,MATCH($A176,PG!$A$2:$A$252,0))</f>
        <v>157.79</v>
      </c>
      <c r="G176">
        <f>INDEX('S&amp;P 500'!$F$2:$F$251,MATCH($A176,'S&amp;P 500'!$A$2:$A$251,0))</f>
        <v>5604.14</v>
      </c>
    </row>
    <row r="177" spans="1:7" x14ac:dyDescent="0.3">
      <c r="A177" s="1">
        <v>45777</v>
      </c>
      <c r="B177" s="2">
        <v>113.17</v>
      </c>
      <c r="C177">
        <f>INDEX(V!$F$2:$F$252,MATCH($A177,V!$A$2:$A$252,0))</f>
        <v>343.64</v>
      </c>
      <c r="D177">
        <f>INDEX(XOM!$F$2:$F$252,MATCH($A177,XOM!$A$2:$A$252,0))</f>
        <v>102.8</v>
      </c>
      <c r="E177">
        <f>INDEX(PFE!$F$2:$F$252,MATCH($A177,PFE!$A$2:$A$252,0))</f>
        <v>23.14</v>
      </c>
      <c r="F177">
        <f>INDEX(PG!$F$2:$F$252,MATCH($A177,PG!$A$2:$A$252,0))</f>
        <v>160.34</v>
      </c>
      <c r="G177">
        <f>INDEX('S&amp;P 500'!$F$2:$F$251,MATCH($A177,'S&amp;P 500'!$A$2:$A$251,0))</f>
        <v>5569.06</v>
      </c>
    </row>
    <row r="178" spans="1:7" x14ac:dyDescent="0.3">
      <c r="A178" s="1">
        <v>45776</v>
      </c>
      <c r="B178" s="2">
        <v>112.56</v>
      </c>
      <c r="C178">
        <f>INDEX(V!$F$2:$F$252,MATCH($A178,V!$A$2:$A$252,0))</f>
        <v>339.68</v>
      </c>
      <c r="D178">
        <f>INDEX(XOM!$F$2:$F$252,MATCH($A178,XOM!$A$2:$A$252,0))</f>
        <v>105.46</v>
      </c>
      <c r="E178">
        <f>INDEX(PFE!$F$2:$F$252,MATCH($A178,PFE!$A$2:$A$252,0))</f>
        <v>22.55</v>
      </c>
      <c r="F178">
        <f>INDEX(PG!$F$2:$F$252,MATCH($A178,PG!$A$2:$A$252,0))</f>
        <v>160.04</v>
      </c>
      <c r="G178">
        <f>INDEX('S&amp;P 500'!$F$2:$F$251,MATCH($A178,'S&amp;P 500'!$A$2:$A$251,0))</f>
        <v>5560.83</v>
      </c>
    </row>
    <row r="179" spans="1:7" x14ac:dyDescent="0.3">
      <c r="A179" s="1">
        <v>45775</v>
      </c>
      <c r="B179" s="2">
        <v>111.04</v>
      </c>
      <c r="C179">
        <f>INDEX(V!$F$2:$F$252,MATCH($A179,V!$A$2:$A$252,0))</f>
        <v>335.69</v>
      </c>
      <c r="D179">
        <f>INDEX(XOM!$F$2:$F$252,MATCH($A179,XOM!$A$2:$A$252,0))</f>
        <v>105.72</v>
      </c>
      <c r="E179">
        <f>INDEX(PFE!$F$2:$F$252,MATCH($A179,PFE!$A$2:$A$252,0))</f>
        <v>21.85</v>
      </c>
      <c r="F179">
        <f>INDEX(PG!$F$2:$F$252,MATCH($A179,PG!$A$2:$A$252,0))</f>
        <v>159.63</v>
      </c>
      <c r="G179">
        <f>INDEX('S&amp;P 500'!$F$2:$F$251,MATCH($A179,'S&amp;P 500'!$A$2:$A$251,0))</f>
        <v>5528.75</v>
      </c>
    </row>
    <row r="180" spans="1:7" x14ac:dyDescent="0.3">
      <c r="A180" s="1">
        <v>45772</v>
      </c>
      <c r="B180" s="2">
        <v>110.15</v>
      </c>
      <c r="C180">
        <f>INDEX(V!$F$2:$F$252,MATCH($A180,V!$A$2:$A$252,0))</f>
        <v>333.37</v>
      </c>
      <c r="D180">
        <f>INDEX(XOM!$F$2:$F$252,MATCH($A180,XOM!$A$2:$A$252,0))</f>
        <v>105.66</v>
      </c>
      <c r="E180">
        <f>INDEX(PFE!$F$2:$F$252,MATCH($A180,PFE!$A$2:$A$252,0))</f>
        <v>21.73</v>
      </c>
      <c r="F180">
        <f>INDEX(PG!$F$2:$F$252,MATCH($A180,PG!$A$2:$A$252,0))</f>
        <v>158.82</v>
      </c>
      <c r="G180">
        <f>INDEX('S&amp;P 500'!$F$2:$F$251,MATCH($A180,'S&amp;P 500'!$A$2:$A$251,0))</f>
        <v>5525.21</v>
      </c>
    </row>
    <row r="181" spans="1:7" x14ac:dyDescent="0.3">
      <c r="A181" s="1">
        <v>45771</v>
      </c>
      <c r="B181" s="2">
        <v>109.69</v>
      </c>
      <c r="C181">
        <f>INDEX(V!$F$2:$F$252,MATCH($A181,V!$A$2:$A$252,0))</f>
        <v>333.9</v>
      </c>
      <c r="D181">
        <f>INDEX(XOM!$F$2:$F$252,MATCH($A181,XOM!$A$2:$A$252,0))</f>
        <v>105.72</v>
      </c>
      <c r="E181">
        <f>INDEX(PFE!$F$2:$F$252,MATCH($A181,PFE!$A$2:$A$252,0))</f>
        <v>21.59</v>
      </c>
      <c r="F181">
        <f>INDEX(PG!$F$2:$F$252,MATCH($A181,PG!$A$2:$A$252,0))</f>
        <v>157.35</v>
      </c>
      <c r="G181">
        <f>INDEX('S&amp;P 500'!$F$2:$F$251,MATCH($A181,'S&amp;P 500'!$A$2:$A$251,0))</f>
        <v>5484.77</v>
      </c>
    </row>
    <row r="182" spans="1:7" x14ac:dyDescent="0.3">
      <c r="A182" s="1">
        <v>45770</v>
      </c>
      <c r="B182" s="2">
        <v>104.96</v>
      </c>
      <c r="C182">
        <f>INDEX(V!$F$2:$F$252,MATCH($A182,V!$A$2:$A$252,0))</f>
        <v>332.57</v>
      </c>
      <c r="D182">
        <f>INDEX(XOM!$F$2:$F$252,MATCH($A182,XOM!$A$2:$A$252,0))</f>
        <v>104.5</v>
      </c>
      <c r="E182">
        <f>INDEX(PFE!$F$2:$F$252,MATCH($A182,PFE!$A$2:$A$252,0))</f>
        <v>21.22</v>
      </c>
      <c r="F182">
        <f>INDEX(PG!$F$2:$F$252,MATCH($A182,PG!$A$2:$A$252,0))</f>
        <v>163.47999999999999</v>
      </c>
      <c r="G182">
        <f>INDEX('S&amp;P 500'!$F$2:$F$251,MATCH($A182,'S&amp;P 500'!$A$2:$A$251,0))</f>
        <v>5375.86</v>
      </c>
    </row>
    <row r="183" spans="1:7" x14ac:dyDescent="0.3">
      <c r="A183" s="1">
        <v>45769</v>
      </c>
      <c r="B183" s="2">
        <v>104.03</v>
      </c>
      <c r="C183">
        <f>INDEX(V!$F$2:$F$252,MATCH($A183,V!$A$2:$A$252,0))</f>
        <v>329.62</v>
      </c>
      <c r="D183">
        <f>INDEX(XOM!$F$2:$F$252,MATCH($A183,XOM!$A$2:$A$252,0))</f>
        <v>105.4</v>
      </c>
      <c r="E183">
        <f>INDEX(PFE!$F$2:$F$252,MATCH($A183,PFE!$A$2:$A$252,0))</f>
        <v>21.36</v>
      </c>
      <c r="F183">
        <f>INDEX(PG!$F$2:$F$252,MATCH($A183,PG!$A$2:$A$252,0))</f>
        <v>165.58</v>
      </c>
      <c r="G183">
        <f>INDEX('S&amp;P 500'!$F$2:$F$251,MATCH($A183,'S&amp;P 500'!$A$2:$A$251,0))</f>
        <v>5287.76</v>
      </c>
    </row>
    <row r="184" spans="1:7" x14ac:dyDescent="0.3">
      <c r="A184" s="1">
        <v>45768</v>
      </c>
      <c r="B184" s="2">
        <v>98.79</v>
      </c>
      <c r="C184">
        <f>INDEX(V!$F$2:$F$252,MATCH($A184,V!$A$2:$A$252,0))</f>
        <v>318.38</v>
      </c>
      <c r="D184">
        <f>INDEX(XOM!$F$2:$F$252,MATCH($A184,XOM!$A$2:$A$252,0))</f>
        <v>102.53</v>
      </c>
      <c r="E184">
        <f>INDEX(PFE!$F$2:$F$252,MATCH($A184,PFE!$A$2:$A$252,0))</f>
        <v>20.89</v>
      </c>
      <c r="F184">
        <f>INDEX(PG!$F$2:$F$252,MATCH($A184,PG!$A$2:$A$252,0))</f>
        <v>163.47999999999999</v>
      </c>
      <c r="G184">
        <f>INDEX('S&amp;P 500'!$F$2:$F$251,MATCH($A184,'S&amp;P 500'!$A$2:$A$251,0))</f>
        <v>5158.2</v>
      </c>
    </row>
    <row r="185" spans="1:7" x14ac:dyDescent="0.3">
      <c r="A185" s="1">
        <v>45764</v>
      </c>
      <c r="B185" s="2">
        <v>97.3</v>
      </c>
      <c r="C185">
        <f>INDEX(V!$F$2:$F$252,MATCH($A185,V!$A$2:$A$252,0))</f>
        <v>327.84</v>
      </c>
      <c r="D185">
        <f>INDEX(XOM!$F$2:$F$252,MATCH($A185,XOM!$A$2:$A$252,0))</f>
        <v>104.06</v>
      </c>
      <c r="E185">
        <f>INDEX(PFE!$F$2:$F$252,MATCH($A185,PFE!$A$2:$A$252,0))</f>
        <v>20.99</v>
      </c>
      <c r="F185">
        <f>INDEX(PG!$F$2:$F$252,MATCH($A185,PG!$A$2:$A$252,0))</f>
        <v>167.25</v>
      </c>
      <c r="G185">
        <f>INDEX('S&amp;P 500'!$F$2:$F$251,MATCH($A185,'S&amp;P 500'!$A$2:$A$251,0))</f>
        <v>5282.7</v>
      </c>
    </row>
    <row r="186" spans="1:7" x14ac:dyDescent="0.3">
      <c r="A186" s="1">
        <v>45763</v>
      </c>
      <c r="B186" s="2">
        <v>96.16</v>
      </c>
      <c r="C186">
        <f>INDEX(V!$F$2:$F$252,MATCH($A186,V!$A$2:$A$252,0))</f>
        <v>329.55</v>
      </c>
      <c r="D186">
        <f>INDEX(XOM!$F$2:$F$252,MATCH($A186,XOM!$A$2:$A$252,0))</f>
        <v>101.4</v>
      </c>
      <c r="E186">
        <f>INDEX(PFE!$F$2:$F$252,MATCH($A186,PFE!$A$2:$A$252,0))</f>
        <v>20.89</v>
      </c>
      <c r="F186">
        <f>INDEX(PG!$F$2:$F$252,MATCH($A186,PG!$A$2:$A$252,0))</f>
        <v>163.1</v>
      </c>
      <c r="G186">
        <f>INDEX('S&amp;P 500'!$F$2:$F$251,MATCH($A186,'S&amp;P 500'!$A$2:$A$251,0))</f>
        <v>5275.7</v>
      </c>
    </row>
    <row r="187" spans="1:7" x14ac:dyDescent="0.3">
      <c r="A187" s="1">
        <v>45762</v>
      </c>
      <c r="B187" s="2">
        <v>97.63</v>
      </c>
      <c r="C187">
        <f>INDEX(V!$F$2:$F$252,MATCH($A187,V!$A$2:$A$252,0))</f>
        <v>334</v>
      </c>
      <c r="D187">
        <f>INDEX(XOM!$F$2:$F$252,MATCH($A187,XOM!$A$2:$A$252,0))</f>
        <v>100.34</v>
      </c>
      <c r="E187">
        <f>INDEX(PFE!$F$2:$F$252,MATCH($A187,PFE!$A$2:$A$252,0))</f>
        <v>21.27</v>
      </c>
      <c r="F187">
        <f>INDEX(PG!$F$2:$F$252,MATCH($A187,PG!$A$2:$A$252,0))</f>
        <v>165.13</v>
      </c>
      <c r="G187">
        <f>INDEX('S&amp;P 500'!$F$2:$F$251,MATCH($A187,'S&amp;P 500'!$A$2:$A$251,0))</f>
        <v>5396.63</v>
      </c>
    </row>
    <row r="188" spans="1:7" x14ac:dyDescent="0.3">
      <c r="A188" s="1">
        <v>45761</v>
      </c>
      <c r="B188" s="2">
        <v>93.13</v>
      </c>
      <c r="C188">
        <f>INDEX(V!$F$2:$F$252,MATCH($A188,V!$A$2:$A$252,0))</f>
        <v>333.38</v>
      </c>
      <c r="D188">
        <f>INDEX(XOM!$F$2:$F$252,MATCH($A188,XOM!$A$2:$A$252,0))</f>
        <v>100.62</v>
      </c>
      <c r="E188">
        <f>INDEX(PFE!$F$2:$F$252,MATCH($A188,PFE!$A$2:$A$252,0))</f>
        <v>20.97</v>
      </c>
      <c r="F188">
        <f>INDEX(PG!$F$2:$F$252,MATCH($A188,PG!$A$2:$A$252,0))</f>
        <v>165.78</v>
      </c>
      <c r="G188">
        <f>INDEX('S&amp;P 500'!$F$2:$F$251,MATCH($A188,'S&amp;P 500'!$A$2:$A$251,0))</f>
        <v>5405.97</v>
      </c>
    </row>
    <row r="189" spans="1:7" x14ac:dyDescent="0.3">
      <c r="A189" s="1">
        <v>45758</v>
      </c>
      <c r="B189" s="2">
        <v>91.83</v>
      </c>
      <c r="C189">
        <f>INDEX(V!$F$2:$F$252,MATCH($A189,V!$A$2:$A$252,0))</f>
        <v>331.61</v>
      </c>
      <c r="D189">
        <f>INDEX(XOM!$F$2:$F$252,MATCH($A189,XOM!$A$2:$A$252,0))</f>
        <v>100.38</v>
      </c>
      <c r="E189">
        <f>INDEX(PFE!$F$2:$F$252,MATCH($A189,PFE!$A$2:$A$252,0))</f>
        <v>20.77</v>
      </c>
      <c r="F189">
        <f>INDEX(PG!$F$2:$F$252,MATCH($A189,PG!$A$2:$A$252,0))</f>
        <v>163.61000000000001</v>
      </c>
      <c r="G189">
        <f>INDEX('S&amp;P 500'!$F$2:$F$251,MATCH($A189,'S&amp;P 500'!$A$2:$A$251,0))</f>
        <v>5363.36</v>
      </c>
    </row>
    <row r="190" spans="1:7" x14ac:dyDescent="0.3">
      <c r="A190" s="1">
        <v>45757</v>
      </c>
      <c r="B190" s="2">
        <v>92.12</v>
      </c>
      <c r="C190">
        <f>INDEX(V!$F$2:$F$252,MATCH($A190,V!$A$2:$A$252,0))</f>
        <v>322.86</v>
      </c>
      <c r="D190">
        <f>INDEX(XOM!$F$2:$F$252,MATCH($A190,XOM!$A$2:$A$252,0))</f>
        <v>97.25</v>
      </c>
      <c r="E190">
        <f>INDEX(PFE!$F$2:$F$252,MATCH($A190,PFE!$A$2:$A$252,0))</f>
        <v>20.47</v>
      </c>
      <c r="F190">
        <f>INDEX(PG!$F$2:$F$252,MATCH($A190,PG!$A$2:$A$252,0))</f>
        <v>160.32</v>
      </c>
      <c r="G190">
        <f>INDEX('S&amp;P 500'!$F$2:$F$251,MATCH($A190,'S&amp;P 500'!$A$2:$A$251,0))</f>
        <v>5268.05</v>
      </c>
    </row>
    <row r="191" spans="1:7" x14ac:dyDescent="0.3">
      <c r="A191" s="1">
        <v>45756</v>
      </c>
      <c r="B191" s="2">
        <v>94.55</v>
      </c>
      <c r="C191">
        <f>INDEX(V!$F$2:$F$252,MATCH($A191,V!$A$2:$A$252,0))</f>
        <v>330.64</v>
      </c>
      <c r="D191">
        <f>INDEX(XOM!$F$2:$F$252,MATCH($A191,XOM!$A$2:$A$252,0))</f>
        <v>102.97</v>
      </c>
      <c r="E191">
        <f>INDEX(PFE!$F$2:$F$252,MATCH($A191,PFE!$A$2:$A$252,0))</f>
        <v>21.32</v>
      </c>
      <c r="F191">
        <f>INDEX(PG!$F$2:$F$252,MATCH($A191,PG!$A$2:$A$252,0))</f>
        <v>159.11000000000001</v>
      </c>
      <c r="G191">
        <f>INDEX('S&amp;P 500'!$F$2:$F$251,MATCH($A191,'S&amp;P 500'!$A$2:$A$251,0))</f>
        <v>5456.9</v>
      </c>
    </row>
    <row r="192" spans="1:7" x14ac:dyDescent="0.3">
      <c r="A192" s="1">
        <v>45755</v>
      </c>
      <c r="B192" s="2">
        <v>87.04</v>
      </c>
      <c r="C192">
        <f>INDEX(V!$F$2:$F$252,MATCH($A192,V!$A$2:$A$252,0))</f>
        <v>306.61</v>
      </c>
      <c r="D192">
        <f>INDEX(XOM!$F$2:$F$252,MATCH($A192,XOM!$A$2:$A$252,0))</f>
        <v>98.07</v>
      </c>
      <c r="E192">
        <f>INDEX(PFE!$F$2:$F$252,MATCH($A192,PFE!$A$2:$A$252,0))</f>
        <v>20.7</v>
      </c>
      <c r="F192">
        <f>INDEX(PG!$F$2:$F$252,MATCH($A192,PG!$A$2:$A$252,0))</f>
        <v>155.25</v>
      </c>
      <c r="G192">
        <f>INDEX('S&amp;P 500'!$F$2:$F$251,MATCH($A192,'S&amp;P 500'!$A$2:$A$251,0))</f>
        <v>4982.7700000000004</v>
      </c>
    </row>
    <row r="193" spans="1:7" x14ac:dyDescent="0.3">
      <c r="A193" s="1">
        <v>45754</v>
      </c>
      <c r="B193" s="2">
        <v>86.78</v>
      </c>
      <c r="C193">
        <f>INDEX(V!$F$2:$F$252,MATCH($A193,V!$A$2:$A$252,0))</f>
        <v>310.64</v>
      </c>
      <c r="D193">
        <f>INDEX(XOM!$F$2:$F$252,MATCH($A193,XOM!$A$2:$A$252,0))</f>
        <v>100.18</v>
      </c>
      <c r="E193">
        <f>INDEX(PFE!$F$2:$F$252,MATCH($A193,PFE!$A$2:$A$252,0))</f>
        <v>21.45</v>
      </c>
      <c r="F193">
        <f>INDEX(PG!$F$2:$F$252,MATCH($A193,PG!$A$2:$A$252,0))</f>
        <v>157.06</v>
      </c>
      <c r="G193">
        <f>INDEX('S&amp;P 500'!$F$2:$F$251,MATCH($A193,'S&amp;P 500'!$A$2:$A$251,0))</f>
        <v>5062.25</v>
      </c>
    </row>
    <row r="194" spans="1:7" x14ac:dyDescent="0.3">
      <c r="A194" s="1">
        <v>45751</v>
      </c>
      <c r="B194" s="2">
        <v>85.59</v>
      </c>
      <c r="C194">
        <f>INDEX(V!$F$2:$F$252,MATCH($A194,V!$A$2:$A$252,0))</f>
        <v>311.44</v>
      </c>
      <c r="D194">
        <f>INDEX(XOM!$F$2:$F$252,MATCH($A194,XOM!$A$2:$A$252,0))</f>
        <v>101.55</v>
      </c>
      <c r="E194">
        <f>INDEX(PFE!$F$2:$F$252,MATCH($A194,PFE!$A$2:$A$252,0))</f>
        <v>21.77</v>
      </c>
      <c r="F194">
        <f>INDEX(PG!$F$2:$F$252,MATCH($A194,PG!$A$2:$A$252,0))</f>
        <v>160.51</v>
      </c>
      <c r="G194">
        <f>INDEX('S&amp;P 500'!$F$2:$F$251,MATCH($A194,'S&amp;P 500'!$A$2:$A$251,0))</f>
        <v>5074.08</v>
      </c>
    </row>
    <row r="195" spans="1:7" x14ac:dyDescent="0.3">
      <c r="A195" s="1">
        <v>45750</v>
      </c>
      <c r="B195" s="2">
        <v>91.71</v>
      </c>
      <c r="C195">
        <f>INDEX(V!$F$2:$F$252,MATCH($A195,V!$A$2:$A$252,0))</f>
        <v>337.56</v>
      </c>
      <c r="D195">
        <f>INDEX(XOM!$F$2:$F$252,MATCH($A195,XOM!$A$2:$A$252,0))</f>
        <v>109.42</v>
      </c>
      <c r="E195">
        <f>INDEX(PFE!$F$2:$F$252,MATCH($A195,PFE!$A$2:$A$252,0))</f>
        <v>23.03</v>
      </c>
      <c r="F195">
        <f>INDEX(PG!$F$2:$F$252,MATCH($A195,PG!$A$2:$A$252,0))</f>
        <v>168.98</v>
      </c>
      <c r="G195">
        <f>INDEX('S&amp;P 500'!$F$2:$F$251,MATCH($A195,'S&amp;P 500'!$A$2:$A$251,0))</f>
        <v>5396.52</v>
      </c>
    </row>
    <row r="196" spans="1:7" x14ac:dyDescent="0.3">
      <c r="A196" s="1">
        <v>45749</v>
      </c>
      <c r="B196" s="2">
        <v>93.55</v>
      </c>
      <c r="C196">
        <f>INDEX(V!$F$2:$F$252,MATCH($A196,V!$A$2:$A$252,0))</f>
        <v>344.47</v>
      </c>
      <c r="D196">
        <f>INDEX(XOM!$F$2:$F$252,MATCH($A196,XOM!$A$2:$A$252,0))</f>
        <v>115.49</v>
      </c>
      <c r="E196">
        <f>INDEX(PFE!$F$2:$F$252,MATCH($A196,PFE!$A$2:$A$252,0))</f>
        <v>23.41</v>
      </c>
      <c r="F196">
        <f>INDEX(PG!$F$2:$F$252,MATCH($A196,PG!$A$2:$A$252,0))</f>
        <v>166.14</v>
      </c>
      <c r="G196">
        <f>INDEX('S&amp;P 500'!$F$2:$F$251,MATCH($A196,'S&amp;P 500'!$A$2:$A$251,0))</f>
        <v>5670.97</v>
      </c>
    </row>
    <row r="197" spans="1:7" x14ac:dyDescent="0.3">
      <c r="A197" s="1">
        <v>45748</v>
      </c>
      <c r="B197" s="2">
        <v>92.84</v>
      </c>
      <c r="C197">
        <f>INDEX(V!$F$2:$F$252,MATCH($A197,V!$A$2:$A$252,0))</f>
        <v>344.49</v>
      </c>
      <c r="D197">
        <f>INDEX(XOM!$F$2:$F$252,MATCH($A197,XOM!$A$2:$A$252,0))</f>
        <v>115.85</v>
      </c>
      <c r="E197">
        <f>INDEX(PFE!$F$2:$F$252,MATCH($A197,PFE!$A$2:$A$252,0))</f>
        <v>23.26</v>
      </c>
      <c r="F197">
        <f>INDEX(PG!$F$2:$F$252,MATCH($A197,PG!$A$2:$A$252,0))</f>
        <v>167.18</v>
      </c>
      <c r="G197">
        <f>INDEX('S&amp;P 500'!$F$2:$F$251,MATCH($A197,'S&amp;P 500'!$A$2:$A$251,0))</f>
        <v>5633.07</v>
      </c>
    </row>
    <row r="198" spans="1:7" x14ac:dyDescent="0.3">
      <c r="A198" s="1">
        <v>45747</v>
      </c>
      <c r="B198" s="2">
        <v>93.25</v>
      </c>
      <c r="C198">
        <f>INDEX(V!$F$2:$F$252,MATCH($A198,V!$A$2:$A$252,0))</f>
        <v>348.57</v>
      </c>
      <c r="D198">
        <f>INDEX(XOM!$F$2:$F$252,MATCH($A198,XOM!$A$2:$A$252,0))</f>
        <v>115.75</v>
      </c>
      <c r="E198">
        <f>INDEX(PFE!$F$2:$F$252,MATCH($A198,PFE!$A$2:$A$252,0))</f>
        <v>24.02</v>
      </c>
      <c r="F198">
        <f>INDEX(PG!$F$2:$F$252,MATCH($A198,PG!$A$2:$A$252,0))</f>
        <v>167.05</v>
      </c>
      <c r="G198">
        <f>INDEX('S&amp;P 500'!$F$2:$F$251,MATCH($A198,'S&amp;P 500'!$A$2:$A$251,0))</f>
        <v>5611.85</v>
      </c>
    </row>
    <row r="199" spans="1:7" x14ac:dyDescent="0.3">
      <c r="A199" s="1">
        <v>45744</v>
      </c>
      <c r="B199" s="2">
        <v>93.39</v>
      </c>
      <c r="C199">
        <f>INDEX(V!$F$2:$F$252,MATCH($A199,V!$A$2:$A$252,0))</f>
        <v>341</v>
      </c>
      <c r="D199">
        <f>INDEX(XOM!$F$2:$F$252,MATCH($A199,XOM!$A$2:$A$252,0))</f>
        <v>114.58</v>
      </c>
      <c r="E199">
        <f>INDEX(PFE!$F$2:$F$252,MATCH($A199,PFE!$A$2:$A$252,0))</f>
        <v>23.9</v>
      </c>
      <c r="F199">
        <f>INDEX(PG!$F$2:$F$252,MATCH($A199,PG!$A$2:$A$252,0))</f>
        <v>164.7</v>
      </c>
      <c r="G199">
        <f>INDEX('S&amp;P 500'!$F$2:$F$251,MATCH($A199,'S&amp;P 500'!$A$2:$A$251,0))</f>
        <v>5580.94</v>
      </c>
    </row>
    <row r="200" spans="1:7" x14ac:dyDescent="0.3">
      <c r="A200" s="1">
        <v>45743</v>
      </c>
      <c r="B200" s="2">
        <v>97.67</v>
      </c>
      <c r="C200">
        <f>INDEX(V!$F$2:$F$252,MATCH($A200,V!$A$2:$A$252,0))</f>
        <v>347.98</v>
      </c>
      <c r="D200">
        <f>INDEX(XOM!$F$2:$F$252,MATCH($A200,XOM!$A$2:$A$252,0))</f>
        <v>114.73</v>
      </c>
      <c r="E200">
        <f>INDEX(PFE!$F$2:$F$252,MATCH($A200,PFE!$A$2:$A$252,0))</f>
        <v>23.71</v>
      </c>
      <c r="F200">
        <f>INDEX(PG!$F$2:$F$252,MATCH($A200,PG!$A$2:$A$252,0))</f>
        <v>165.37</v>
      </c>
      <c r="G200">
        <f>INDEX('S&amp;P 500'!$F$2:$F$251,MATCH($A200,'S&amp;P 500'!$A$2:$A$251,0))</f>
        <v>5693.31</v>
      </c>
    </row>
    <row r="201" spans="1:7" x14ac:dyDescent="0.3">
      <c r="A201" s="1">
        <v>45742</v>
      </c>
      <c r="B201" s="2">
        <v>97.07</v>
      </c>
      <c r="C201">
        <f>INDEX(V!$F$2:$F$252,MATCH($A201,V!$A$2:$A$252,0))</f>
        <v>342.33</v>
      </c>
      <c r="D201">
        <f>INDEX(XOM!$F$2:$F$252,MATCH($A201,XOM!$A$2:$A$252,0))</f>
        <v>115.1</v>
      </c>
      <c r="E201">
        <f>INDEX(PFE!$F$2:$F$252,MATCH($A201,PFE!$A$2:$A$252,0))</f>
        <v>23.9</v>
      </c>
      <c r="F201">
        <f>INDEX(PG!$F$2:$F$252,MATCH($A201,PG!$A$2:$A$252,0))</f>
        <v>163.28</v>
      </c>
      <c r="G201">
        <f>INDEX('S&amp;P 500'!$F$2:$F$251,MATCH($A201,'S&amp;P 500'!$A$2:$A$251,0))</f>
        <v>5712.2</v>
      </c>
    </row>
    <row r="202" spans="1:7" x14ac:dyDescent="0.3">
      <c r="A202" s="1">
        <v>45741</v>
      </c>
      <c r="B202" s="2">
        <v>99.73</v>
      </c>
      <c r="C202">
        <f>INDEX(V!$F$2:$F$252,MATCH($A202,V!$A$2:$A$252,0))</f>
        <v>342.77</v>
      </c>
      <c r="D202">
        <f>INDEX(XOM!$F$2:$F$252,MATCH($A202,XOM!$A$2:$A$252,0))</f>
        <v>113.47</v>
      </c>
      <c r="E202">
        <f>INDEX(PFE!$F$2:$F$252,MATCH($A202,PFE!$A$2:$A$252,0))</f>
        <v>24.22</v>
      </c>
      <c r="F202">
        <f>INDEX(PG!$F$2:$F$252,MATCH($A202,PG!$A$2:$A$252,0))</f>
        <v>159.63</v>
      </c>
      <c r="G202">
        <f>INDEX('S&amp;P 500'!$F$2:$F$251,MATCH($A202,'S&amp;P 500'!$A$2:$A$251,0))</f>
        <v>5776.65</v>
      </c>
    </row>
    <row r="203" spans="1:7" x14ac:dyDescent="0.3">
      <c r="A203" s="1">
        <v>45740</v>
      </c>
      <c r="B203" s="2">
        <v>97.2</v>
      </c>
      <c r="C203">
        <f>INDEX(V!$F$2:$F$252,MATCH($A203,V!$A$2:$A$252,0))</f>
        <v>342.02</v>
      </c>
      <c r="D203">
        <f>INDEX(XOM!$F$2:$F$252,MATCH($A203,XOM!$A$2:$A$252,0))</f>
        <v>112.7</v>
      </c>
      <c r="E203">
        <f>INDEX(PFE!$F$2:$F$252,MATCH($A203,PFE!$A$2:$A$252,0))</f>
        <v>24.78</v>
      </c>
      <c r="F203">
        <f>INDEX(PG!$F$2:$F$252,MATCH($A203,PG!$A$2:$A$252,0))</f>
        <v>162.37</v>
      </c>
      <c r="G203">
        <f>INDEX('S&amp;P 500'!$F$2:$F$251,MATCH($A203,'S&amp;P 500'!$A$2:$A$251,0))</f>
        <v>5767.57</v>
      </c>
    </row>
    <row r="204" spans="1:7" x14ac:dyDescent="0.3">
      <c r="A204" s="1">
        <v>45737</v>
      </c>
      <c r="B204" s="2">
        <v>96.03</v>
      </c>
      <c r="C204">
        <f>INDEX(V!$F$2:$F$252,MATCH($A204,V!$A$2:$A$252,0))</f>
        <v>333.85</v>
      </c>
      <c r="D204">
        <f>INDEX(XOM!$F$2:$F$252,MATCH($A204,XOM!$A$2:$A$252,0))</f>
        <v>112.41</v>
      </c>
      <c r="E204">
        <f>INDEX(PFE!$F$2:$F$252,MATCH($A204,PFE!$A$2:$A$252,0))</f>
        <v>24.91</v>
      </c>
      <c r="F204">
        <f>INDEX(PG!$F$2:$F$252,MATCH($A204,PG!$A$2:$A$252,0))</f>
        <v>163.38999999999999</v>
      </c>
      <c r="G204">
        <f>INDEX('S&amp;P 500'!$F$2:$F$251,MATCH($A204,'S&amp;P 500'!$A$2:$A$251,0))</f>
        <v>5667.56</v>
      </c>
    </row>
    <row r="205" spans="1:7" x14ac:dyDescent="0.3">
      <c r="A205" s="1">
        <v>45736</v>
      </c>
      <c r="B205" s="2">
        <v>95.08</v>
      </c>
      <c r="C205">
        <f>INDEX(V!$F$2:$F$252,MATCH($A205,V!$A$2:$A$252,0))</f>
        <v>337.67</v>
      </c>
      <c r="D205">
        <f>INDEX(XOM!$F$2:$F$252,MATCH($A205,XOM!$A$2:$A$252,0))</f>
        <v>112.8</v>
      </c>
      <c r="E205">
        <f>INDEX(PFE!$F$2:$F$252,MATCH($A205,PFE!$A$2:$A$252,0))</f>
        <v>24.83</v>
      </c>
      <c r="F205">
        <f>INDEX(PG!$F$2:$F$252,MATCH($A205,PG!$A$2:$A$252,0))</f>
        <v>164.23</v>
      </c>
      <c r="G205">
        <f>INDEX('S&amp;P 500'!$F$2:$F$251,MATCH($A205,'S&amp;P 500'!$A$2:$A$251,0))</f>
        <v>5662.89</v>
      </c>
    </row>
    <row r="206" spans="1:7" x14ac:dyDescent="0.3">
      <c r="A206" s="1">
        <v>45735</v>
      </c>
      <c r="B206" s="2">
        <v>95.95</v>
      </c>
      <c r="C206">
        <f>INDEX(V!$F$2:$F$252,MATCH($A206,V!$A$2:$A$252,0))</f>
        <v>338.04</v>
      </c>
      <c r="D206">
        <f>INDEX(XOM!$F$2:$F$252,MATCH($A206,XOM!$A$2:$A$252,0))</f>
        <v>112.32</v>
      </c>
      <c r="E206">
        <f>INDEX(PFE!$F$2:$F$252,MATCH($A206,PFE!$A$2:$A$252,0))</f>
        <v>24.85</v>
      </c>
      <c r="F206">
        <f>INDEX(PG!$F$2:$F$252,MATCH($A206,PG!$A$2:$A$252,0))</f>
        <v>165.23</v>
      </c>
      <c r="G206">
        <f>INDEX('S&amp;P 500'!$F$2:$F$251,MATCH($A206,'S&amp;P 500'!$A$2:$A$251,0))</f>
        <v>5675.29</v>
      </c>
    </row>
    <row r="207" spans="1:7" x14ac:dyDescent="0.3">
      <c r="A207" s="1">
        <v>45734</v>
      </c>
      <c r="B207" s="2">
        <v>93</v>
      </c>
      <c r="C207">
        <f>INDEX(V!$F$2:$F$252,MATCH($A207,V!$A$2:$A$252,0))</f>
        <v>332.97</v>
      </c>
      <c r="D207">
        <f>INDEX(XOM!$F$2:$F$252,MATCH($A207,XOM!$A$2:$A$252,0))</f>
        <v>110.6</v>
      </c>
      <c r="E207">
        <f>INDEX(PFE!$F$2:$F$252,MATCH($A207,PFE!$A$2:$A$252,0))</f>
        <v>24.94</v>
      </c>
      <c r="F207">
        <f>INDEX(PG!$F$2:$F$252,MATCH($A207,PG!$A$2:$A$252,0))</f>
        <v>164.39</v>
      </c>
      <c r="G207">
        <f>INDEX('S&amp;P 500'!$F$2:$F$251,MATCH($A207,'S&amp;P 500'!$A$2:$A$251,0))</f>
        <v>5614.66</v>
      </c>
    </row>
    <row r="208" spans="1:7" x14ac:dyDescent="0.3">
      <c r="A208" s="1">
        <v>45733</v>
      </c>
      <c r="B208" s="2">
        <v>95</v>
      </c>
      <c r="C208">
        <f>INDEX(V!$F$2:$F$252,MATCH($A208,V!$A$2:$A$252,0))</f>
        <v>332.75</v>
      </c>
      <c r="D208">
        <f>INDEX(XOM!$F$2:$F$252,MATCH($A208,XOM!$A$2:$A$252,0))</f>
        <v>110.71</v>
      </c>
      <c r="E208">
        <f>INDEX(PFE!$F$2:$F$252,MATCH($A208,PFE!$A$2:$A$252,0))</f>
        <v>24.69</v>
      </c>
      <c r="F208">
        <f>INDEX(PG!$F$2:$F$252,MATCH($A208,PG!$A$2:$A$252,0))</f>
        <v>166.4</v>
      </c>
      <c r="G208">
        <f>INDEX('S&amp;P 500'!$F$2:$F$251,MATCH($A208,'S&amp;P 500'!$A$2:$A$251,0))</f>
        <v>5675.12</v>
      </c>
    </row>
    <row r="209" spans="1:7" x14ac:dyDescent="0.3">
      <c r="A209" s="1">
        <v>45730</v>
      </c>
      <c r="B209" s="2">
        <v>91.8</v>
      </c>
      <c r="C209">
        <f>INDEX(V!$F$2:$F$252,MATCH($A209,V!$A$2:$A$252,0))</f>
        <v>330.01</v>
      </c>
      <c r="D209">
        <f>INDEX(XOM!$F$2:$F$252,MATCH($A209,XOM!$A$2:$A$252,0))</f>
        <v>108.9</v>
      </c>
      <c r="E209">
        <f>INDEX(PFE!$F$2:$F$252,MATCH($A209,PFE!$A$2:$A$252,0))</f>
        <v>24.38</v>
      </c>
      <c r="F209">
        <f>INDEX(PG!$F$2:$F$252,MATCH($A209,PG!$A$2:$A$252,0))</f>
        <v>164.64</v>
      </c>
      <c r="G209">
        <f>INDEX('S&amp;P 500'!$F$2:$F$251,MATCH($A209,'S&amp;P 500'!$A$2:$A$251,0))</f>
        <v>5638.94</v>
      </c>
    </row>
    <row r="210" spans="1:7" x14ac:dyDescent="0.3">
      <c r="A210" s="1">
        <v>45729</v>
      </c>
      <c r="B210" s="2">
        <v>89.02</v>
      </c>
      <c r="C210">
        <f>INDEX(V!$F$2:$F$252,MATCH($A210,V!$A$2:$A$252,0))</f>
        <v>326.77999999999997</v>
      </c>
      <c r="D210">
        <f>INDEX(XOM!$F$2:$F$252,MATCH($A210,XOM!$A$2:$A$252,0))</f>
        <v>105.76</v>
      </c>
      <c r="E210">
        <f>INDEX(PFE!$F$2:$F$252,MATCH($A210,PFE!$A$2:$A$252,0))</f>
        <v>24.27</v>
      </c>
      <c r="F210">
        <f>INDEX(PG!$F$2:$F$252,MATCH($A210,PG!$A$2:$A$252,0))</f>
        <v>165.25</v>
      </c>
      <c r="G210">
        <f>INDEX('S&amp;P 500'!$F$2:$F$251,MATCH($A210,'S&amp;P 500'!$A$2:$A$251,0))</f>
        <v>5521.52</v>
      </c>
    </row>
    <row r="211" spans="1:7" x14ac:dyDescent="0.3">
      <c r="A211" s="1">
        <v>45728</v>
      </c>
      <c r="B211" s="2">
        <v>91.97</v>
      </c>
      <c r="C211">
        <f>INDEX(V!$F$2:$F$252,MATCH($A211,V!$A$2:$A$252,0))</f>
        <v>331.05</v>
      </c>
      <c r="D211">
        <f>INDEX(XOM!$F$2:$F$252,MATCH($A211,XOM!$A$2:$A$252,0))</f>
        <v>106.21</v>
      </c>
      <c r="E211">
        <f>INDEX(PFE!$F$2:$F$252,MATCH($A211,PFE!$A$2:$A$252,0))</f>
        <v>24.37</v>
      </c>
      <c r="F211">
        <f>INDEX(PG!$F$2:$F$252,MATCH($A211,PG!$A$2:$A$252,0))</f>
        <v>165.04</v>
      </c>
      <c r="G211">
        <f>INDEX('S&amp;P 500'!$F$2:$F$251,MATCH($A211,'S&amp;P 500'!$A$2:$A$251,0))</f>
        <v>5599.3</v>
      </c>
    </row>
    <row r="212" spans="1:7" x14ac:dyDescent="0.3">
      <c r="A212" s="1">
        <v>45727</v>
      </c>
      <c r="B212" s="2">
        <v>89.51</v>
      </c>
      <c r="C212">
        <f>INDEX(V!$F$2:$F$252,MATCH($A212,V!$A$2:$A$252,0))</f>
        <v>330.35</v>
      </c>
      <c r="D212">
        <f>INDEX(XOM!$F$2:$F$252,MATCH($A212,XOM!$A$2:$A$252,0))</f>
        <v>106.24</v>
      </c>
      <c r="E212">
        <f>INDEX(PFE!$F$2:$F$252,MATCH($A212,PFE!$A$2:$A$252,0))</f>
        <v>24.64</v>
      </c>
      <c r="F212">
        <f>INDEX(PG!$F$2:$F$252,MATCH($A212,PG!$A$2:$A$252,0))</f>
        <v>169.69</v>
      </c>
      <c r="G212">
        <f>INDEX('S&amp;P 500'!$F$2:$F$251,MATCH($A212,'S&amp;P 500'!$A$2:$A$251,0))</f>
        <v>5572.07</v>
      </c>
    </row>
    <row r="213" spans="1:7" x14ac:dyDescent="0.3">
      <c r="A213" s="1">
        <v>45726</v>
      </c>
      <c r="B213" s="2">
        <v>86.67</v>
      </c>
      <c r="C213">
        <f>INDEX(V!$F$2:$F$252,MATCH($A213,V!$A$2:$A$252,0))</f>
        <v>339.64</v>
      </c>
      <c r="D213">
        <f>INDEX(XOM!$F$2:$F$252,MATCH($A213,XOM!$A$2:$A$252,0))</f>
        <v>108.81</v>
      </c>
      <c r="E213">
        <f>INDEX(PFE!$F$2:$F$252,MATCH($A213,PFE!$A$2:$A$252,0))</f>
        <v>25.25</v>
      </c>
      <c r="F213">
        <f>INDEX(PG!$F$2:$F$252,MATCH($A213,PG!$A$2:$A$252,0))</f>
        <v>172.77</v>
      </c>
      <c r="G213">
        <f>INDEX('S&amp;P 500'!$F$2:$F$251,MATCH($A213,'S&amp;P 500'!$A$2:$A$251,0))</f>
        <v>5614.56</v>
      </c>
    </row>
    <row r="214" spans="1:7" x14ac:dyDescent="0.3">
      <c r="A214" s="1">
        <v>45723</v>
      </c>
      <c r="B214" s="2">
        <v>89.11</v>
      </c>
      <c r="C214">
        <f>INDEX(V!$F$2:$F$252,MATCH($A214,V!$A$2:$A$252,0))</f>
        <v>343.46</v>
      </c>
      <c r="D214">
        <f>INDEX(XOM!$F$2:$F$252,MATCH($A214,XOM!$A$2:$A$252,0))</f>
        <v>106.1</v>
      </c>
      <c r="E214">
        <f>INDEX(PFE!$F$2:$F$252,MATCH($A214,PFE!$A$2:$A$252,0))</f>
        <v>25.34</v>
      </c>
      <c r="F214">
        <f>INDEX(PG!$F$2:$F$252,MATCH($A214,PG!$A$2:$A$252,0))</f>
        <v>172.47</v>
      </c>
      <c r="G214">
        <f>INDEX('S&amp;P 500'!$F$2:$F$251,MATCH($A214,'S&amp;P 500'!$A$2:$A$251,0))</f>
        <v>5770.2</v>
      </c>
    </row>
    <row r="215" spans="1:7" x14ac:dyDescent="0.3">
      <c r="A215" s="1">
        <v>45722</v>
      </c>
      <c r="B215" s="2">
        <v>90.64</v>
      </c>
      <c r="C215">
        <f>INDEX(V!$F$2:$F$252,MATCH($A215,V!$A$2:$A$252,0))</f>
        <v>342.31</v>
      </c>
      <c r="D215">
        <f>INDEX(XOM!$F$2:$F$252,MATCH($A215,XOM!$A$2:$A$252,0))</f>
        <v>104.74</v>
      </c>
      <c r="E215">
        <f>INDEX(PFE!$F$2:$F$252,MATCH($A215,PFE!$A$2:$A$252,0))</f>
        <v>24.87</v>
      </c>
      <c r="F215">
        <f>INDEX(PG!$F$2:$F$252,MATCH($A215,PG!$A$2:$A$252,0))</f>
        <v>171.2</v>
      </c>
      <c r="G215">
        <f>INDEX('S&amp;P 500'!$F$2:$F$251,MATCH($A215,'S&amp;P 500'!$A$2:$A$251,0))</f>
        <v>5738.52</v>
      </c>
    </row>
    <row r="216" spans="1:7" x14ac:dyDescent="0.3">
      <c r="A216" s="1">
        <v>45721</v>
      </c>
      <c r="B216" s="2">
        <v>99.09</v>
      </c>
      <c r="C216">
        <f>INDEX(V!$F$2:$F$252,MATCH($A216,V!$A$2:$A$252,0))</f>
        <v>350.78</v>
      </c>
      <c r="D216">
        <f>INDEX(XOM!$F$2:$F$252,MATCH($A216,XOM!$A$2:$A$252,0))</f>
        <v>102.62</v>
      </c>
      <c r="E216">
        <f>INDEX(PFE!$F$2:$F$252,MATCH($A216,PFE!$A$2:$A$252,0))</f>
        <v>24.59</v>
      </c>
      <c r="F216">
        <f>INDEX(PG!$F$2:$F$252,MATCH($A216,PG!$A$2:$A$252,0))</f>
        <v>171.15</v>
      </c>
      <c r="G216">
        <f>INDEX('S&amp;P 500'!$F$2:$F$251,MATCH($A216,'S&amp;P 500'!$A$2:$A$251,0))</f>
        <v>5842.63</v>
      </c>
    </row>
    <row r="217" spans="1:7" x14ac:dyDescent="0.3">
      <c r="A217" s="1">
        <v>45720</v>
      </c>
      <c r="B217" s="2">
        <v>97.26</v>
      </c>
      <c r="C217">
        <f>INDEX(V!$F$2:$F$252,MATCH($A217,V!$A$2:$A$252,0))</f>
        <v>350.33</v>
      </c>
      <c r="D217">
        <f>INDEX(XOM!$F$2:$F$252,MATCH($A217,XOM!$A$2:$A$252,0))</f>
        <v>104.66</v>
      </c>
      <c r="E217">
        <f>INDEX(PFE!$F$2:$F$252,MATCH($A217,PFE!$A$2:$A$252,0))</f>
        <v>24.41</v>
      </c>
      <c r="F217">
        <f>INDEX(PG!$F$2:$F$252,MATCH($A217,PG!$A$2:$A$252,0))</f>
        <v>169.75</v>
      </c>
      <c r="G217">
        <f>INDEX('S&amp;P 500'!$F$2:$F$251,MATCH($A217,'S&amp;P 500'!$A$2:$A$251,0))</f>
        <v>5778.15</v>
      </c>
    </row>
    <row r="218" spans="1:7" x14ac:dyDescent="0.3">
      <c r="A218" s="1">
        <v>45719</v>
      </c>
      <c r="B218" s="2">
        <v>97.37</v>
      </c>
      <c r="C218">
        <f>INDEX(V!$F$2:$F$252,MATCH($A218,V!$A$2:$A$252,0))</f>
        <v>359.87</v>
      </c>
      <c r="D218">
        <f>INDEX(XOM!$F$2:$F$252,MATCH($A218,XOM!$A$2:$A$252,0))</f>
        <v>104.87</v>
      </c>
      <c r="E218">
        <f>INDEX(PFE!$F$2:$F$252,MATCH($A218,PFE!$A$2:$A$252,0))</f>
        <v>24.88</v>
      </c>
      <c r="F218">
        <f>INDEX(PG!$F$2:$F$252,MATCH($A218,PG!$A$2:$A$252,0))</f>
        <v>172.11</v>
      </c>
      <c r="G218">
        <f>INDEX('S&amp;P 500'!$F$2:$F$251,MATCH($A218,'S&amp;P 500'!$A$2:$A$251,0))</f>
        <v>5849.72</v>
      </c>
    </row>
    <row r="219" spans="1:7" x14ac:dyDescent="0.3">
      <c r="A219" s="1">
        <v>45716</v>
      </c>
      <c r="B219" s="2">
        <v>98.06</v>
      </c>
      <c r="C219">
        <f>INDEX(V!$F$2:$F$252,MATCH($A219,V!$A$2:$A$252,0))</f>
        <v>360.76</v>
      </c>
      <c r="D219">
        <f>INDEX(XOM!$F$2:$F$252,MATCH($A219,XOM!$A$2:$A$252,0))</f>
        <v>108.35</v>
      </c>
      <c r="E219">
        <f>INDEX(PFE!$F$2:$F$252,MATCH($A219,PFE!$A$2:$A$252,0))</f>
        <v>25.05</v>
      </c>
      <c r="F219">
        <f>INDEX(PG!$F$2:$F$252,MATCH($A219,PG!$A$2:$A$252,0))</f>
        <v>170.4</v>
      </c>
      <c r="G219">
        <f>INDEX('S&amp;P 500'!$F$2:$F$251,MATCH($A219,'S&amp;P 500'!$A$2:$A$251,0))</f>
        <v>5954.5</v>
      </c>
    </row>
    <row r="220" spans="1:7" x14ac:dyDescent="0.3">
      <c r="A220" s="1">
        <v>45715</v>
      </c>
      <c r="B220" s="2">
        <v>96.31</v>
      </c>
      <c r="C220">
        <f>INDEX(V!$F$2:$F$252,MATCH($A220,V!$A$2:$A$252,0))</f>
        <v>353.83</v>
      </c>
      <c r="D220">
        <f>INDEX(XOM!$F$2:$F$252,MATCH($A220,XOM!$A$2:$A$252,0))</f>
        <v>107.2</v>
      </c>
      <c r="E220">
        <f>INDEX(PFE!$F$2:$F$252,MATCH($A220,PFE!$A$2:$A$252,0))</f>
        <v>24.74</v>
      </c>
      <c r="F220">
        <f>INDEX(PG!$F$2:$F$252,MATCH($A220,PG!$A$2:$A$252,0))</f>
        <v>168.57</v>
      </c>
      <c r="G220">
        <f>INDEX('S&amp;P 500'!$F$2:$F$251,MATCH($A220,'S&amp;P 500'!$A$2:$A$251,0))</f>
        <v>5861.57</v>
      </c>
    </row>
    <row r="221" spans="1:7" x14ac:dyDescent="0.3">
      <c r="A221" s="1">
        <v>45714</v>
      </c>
      <c r="B221" s="2">
        <v>99.01</v>
      </c>
      <c r="C221">
        <f>INDEX(V!$F$2:$F$252,MATCH($A221,V!$A$2:$A$252,0))</f>
        <v>348.74</v>
      </c>
      <c r="D221">
        <f>INDEX(XOM!$F$2:$F$252,MATCH($A221,XOM!$A$2:$A$252,0))</f>
        <v>106.53</v>
      </c>
      <c r="E221">
        <f>INDEX(PFE!$F$2:$F$252,MATCH($A221,PFE!$A$2:$A$252,0))</f>
        <v>25.04</v>
      </c>
      <c r="F221">
        <f>INDEX(PG!$F$2:$F$252,MATCH($A221,PG!$A$2:$A$252,0))</f>
        <v>167.91</v>
      </c>
      <c r="G221">
        <f>INDEX('S&amp;P 500'!$F$2:$F$251,MATCH($A221,'S&amp;P 500'!$A$2:$A$251,0))</f>
        <v>5956.06</v>
      </c>
    </row>
    <row r="222" spans="1:7" x14ac:dyDescent="0.3">
      <c r="A222" s="1">
        <v>45713</v>
      </c>
      <c r="B222" s="2">
        <v>97.72</v>
      </c>
      <c r="C222">
        <f>INDEX(V!$F$2:$F$252,MATCH($A222,V!$A$2:$A$252,0))</f>
        <v>350.2</v>
      </c>
      <c r="D222">
        <f>INDEX(XOM!$F$2:$F$252,MATCH($A222,XOM!$A$2:$A$252,0))</f>
        <v>106.79</v>
      </c>
      <c r="E222">
        <f>INDEX(PFE!$F$2:$F$252,MATCH($A222,PFE!$A$2:$A$252,0))</f>
        <v>25.35</v>
      </c>
      <c r="F222">
        <f>INDEX(PG!$F$2:$F$252,MATCH($A222,PG!$A$2:$A$252,0))</f>
        <v>169.23</v>
      </c>
      <c r="G222">
        <f>INDEX('S&amp;P 500'!$F$2:$F$251,MATCH($A222,'S&amp;P 500'!$A$2:$A$251,0))</f>
        <v>5955.25</v>
      </c>
    </row>
    <row r="223" spans="1:7" x14ac:dyDescent="0.3">
      <c r="A223" s="1">
        <v>45712</v>
      </c>
      <c r="B223" s="2">
        <v>98.85</v>
      </c>
      <c r="C223">
        <f>INDEX(V!$F$2:$F$252,MATCH($A223,V!$A$2:$A$252,0))</f>
        <v>347.98</v>
      </c>
      <c r="D223">
        <f>INDEX(XOM!$F$2:$F$252,MATCH($A223,XOM!$A$2:$A$252,0))</f>
        <v>108.29</v>
      </c>
      <c r="E223">
        <f>INDEX(PFE!$F$2:$F$252,MATCH($A223,PFE!$A$2:$A$252,0))</f>
        <v>25.26</v>
      </c>
      <c r="F223">
        <f>INDEX(PG!$F$2:$F$252,MATCH($A223,PG!$A$2:$A$252,0))</f>
        <v>167.16</v>
      </c>
      <c r="G223">
        <f>INDEX('S&amp;P 500'!$F$2:$F$251,MATCH($A223,'S&amp;P 500'!$A$2:$A$251,0))</f>
        <v>5983.25</v>
      </c>
    </row>
    <row r="224" spans="1:7" x14ac:dyDescent="0.3">
      <c r="A224" s="1">
        <v>45709</v>
      </c>
      <c r="B224" s="2">
        <v>100.32</v>
      </c>
      <c r="C224">
        <f>INDEX(V!$F$2:$F$252,MATCH($A224,V!$A$2:$A$252,0))</f>
        <v>346.65</v>
      </c>
      <c r="D224">
        <f>INDEX(XOM!$F$2:$F$252,MATCH($A224,XOM!$A$2:$A$252,0))</f>
        <v>107.73</v>
      </c>
      <c r="E224">
        <f>INDEX(PFE!$F$2:$F$252,MATCH($A224,PFE!$A$2:$A$252,0))</f>
        <v>24.93</v>
      </c>
      <c r="F224">
        <f>INDEX(PG!$F$2:$F$252,MATCH($A224,PG!$A$2:$A$252,0))</f>
        <v>166.86</v>
      </c>
      <c r="G224">
        <f>INDEX('S&amp;P 500'!$F$2:$F$251,MATCH($A224,'S&amp;P 500'!$A$2:$A$251,0))</f>
        <v>6013.13</v>
      </c>
    </row>
    <row r="225" spans="1:7" x14ac:dyDescent="0.3">
      <c r="A225" s="1">
        <v>45708</v>
      </c>
      <c r="B225" s="2">
        <v>102.45</v>
      </c>
      <c r="C225">
        <f>INDEX(V!$F$2:$F$252,MATCH($A225,V!$A$2:$A$252,0))</f>
        <v>348.6</v>
      </c>
      <c r="D225">
        <f>INDEX(XOM!$F$2:$F$252,MATCH($A225,XOM!$A$2:$A$252,0))</f>
        <v>109</v>
      </c>
      <c r="E225">
        <f>INDEX(PFE!$F$2:$F$252,MATCH($A225,PFE!$A$2:$A$252,0))</f>
        <v>24.55</v>
      </c>
      <c r="F225">
        <f>INDEX(PG!$F$2:$F$252,MATCH($A225,PG!$A$2:$A$252,0))</f>
        <v>163.9</v>
      </c>
      <c r="G225">
        <f>INDEX('S&amp;P 500'!$F$2:$F$251,MATCH($A225,'S&amp;P 500'!$A$2:$A$251,0))</f>
        <v>6117.52</v>
      </c>
    </row>
    <row r="226" spans="1:7" x14ac:dyDescent="0.3">
      <c r="A226" s="1">
        <v>45707</v>
      </c>
      <c r="B226" s="2">
        <v>104.33</v>
      </c>
      <c r="C226">
        <f>INDEX(V!$F$2:$F$252,MATCH($A226,V!$A$2:$A$252,0))</f>
        <v>353.32</v>
      </c>
      <c r="D226">
        <f>INDEX(XOM!$F$2:$F$252,MATCH($A226,XOM!$A$2:$A$252,0))</f>
        <v>107.35</v>
      </c>
      <c r="E226">
        <f>INDEX(PFE!$F$2:$F$252,MATCH($A226,PFE!$A$2:$A$252,0))</f>
        <v>24.54</v>
      </c>
      <c r="F226">
        <f>INDEX(PG!$F$2:$F$252,MATCH($A226,PG!$A$2:$A$252,0))</f>
        <v>163.19</v>
      </c>
      <c r="G226">
        <f>INDEX('S&amp;P 500'!$F$2:$F$251,MATCH($A226,'S&amp;P 500'!$A$2:$A$251,0))</f>
        <v>6144.15</v>
      </c>
    </row>
    <row r="227" spans="1:7" x14ac:dyDescent="0.3">
      <c r="A227" s="1">
        <v>45706</v>
      </c>
      <c r="B227" s="2">
        <v>103.58</v>
      </c>
      <c r="C227">
        <f>INDEX(V!$F$2:$F$252,MATCH($A227,V!$A$2:$A$252,0))</f>
        <v>354.81</v>
      </c>
      <c r="D227">
        <f>INDEX(XOM!$F$2:$F$252,MATCH($A227,XOM!$A$2:$A$252,0))</f>
        <v>107.19</v>
      </c>
      <c r="E227">
        <f>INDEX(PFE!$F$2:$F$252,MATCH($A227,PFE!$A$2:$A$252,0))</f>
        <v>24.23</v>
      </c>
      <c r="F227">
        <f>INDEX(PG!$F$2:$F$252,MATCH($A227,PG!$A$2:$A$252,0))</f>
        <v>162.15</v>
      </c>
      <c r="G227">
        <f>INDEX('S&amp;P 500'!$F$2:$F$251,MATCH($A227,'S&amp;P 500'!$A$2:$A$251,0))</f>
        <v>6129.58</v>
      </c>
    </row>
    <row r="228" spans="1:7" x14ac:dyDescent="0.3">
      <c r="A228" s="1">
        <v>45702</v>
      </c>
      <c r="B228" s="2">
        <v>105.86</v>
      </c>
      <c r="C228">
        <f>INDEX(V!$F$2:$F$252,MATCH($A228,V!$A$2:$A$252,0))</f>
        <v>351.91</v>
      </c>
      <c r="D228">
        <f>INDEX(XOM!$F$2:$F$252,MATCH($A228,XOM!$A$2:$A$252,0))</f>
        <v>105.34</v>
      </c>
      <c r="E228">
        <f>INDEX(PFE!$F$2:$F$252,MATCH($A228,PFE!$A$2:$A$252,0))</f>
        <v>24.2</v>
      </c>
      <c r="F228">
        <f>INDEX(PG!$F$2:$F$252,MATCH($A228,PG!$A$2:$A$252,0))</f>
        <v>159.66</v>
      </c>
      <c r="G228">
        <f>INDEX('S&amp;P 500'!$F$2:$F$251,MATCH($A228,'S&amp;P 500'!$A$2:$A$251,0))</f>
        <v>6114.63</v>
      </c>
    </row>
    <row r="229" spans="1:7" x14ac:dyDescent="0.3">
      <c r="A229" s="1">
        <v>45701</v>
      </c>
      <c r="B229" s="2">
        <v>104.37</v>
      </c>
      <c r="C229">
        <f>INDEX(V!$F$2:$F$252,MATCH($A229,V!$A$2:$A$252,0))</f>
        <v>353.72</v>
      </c>
      <c r="D229">
        <f>INDEX(XOM!$F$2:$F$252,MATCH($A229,XOM!$A$2:$A$252,0))</f>
        <v>105.23</v>
      </c>
      <c r="E229">
        <f>INDEX(PFE!$F$2:$F$252,MATCH($A229,PFE!$A$2:$A$252,0))</f>
        <v>24.31</v>
      </c>
      <c r="F229">
        <f>INDEX(PG!$F$2:$F$252,MATCH($A229,PG!$A$2:$A$252,0))</f>
        <v>167.63</v>
      </c>
      <c r="G229">
        <f>INDEX('S&amp;P 500'!$F$2:$F$251,MATCH($A229,'S&amp;P 500'!$A$2:$A$251,0))</f>
        <v>6115.07</v>
      </c>
    </row>
    <row r="230" spans="1:7" x14ac:dyDescent="0.3">
      <c r="A230" s="1">
        <v>45700</v>
      </c>
      <c r="B230" s="2">
        <v>102.73</v>
      </c>
      <c r="C230">
        <f>INDEX(V!$F$2:$F$252,MATCH($A230,V!$A$2:$A$252,0))</f>
        <v>349.6</v>
      </c>
      <c r="D230">
        <f>INDEX(XOM!$F$2:$F$252,MATCH($A230,XOM!$A$2:$A$252,0))</f>
        <v>104.48</v>
      </c>
      <c r="E230">
        <f>INDEX(PFE!$F$2:$F$252,MATCH($A230,PFE!$A$2:$A$252,0))</f>
        <v>24.14</v>
      </c>
      <c r="F230">
        <f>INDEX(PG!$F$2:$F$252,MATCH($A230,PG!$A$2:$A$252,0))</f>
        <v>166.22</v>
      </c>
      <c r="G230">
        <f>INDEX('S&amp;P 500'!$F$2:$F$251,MATCH($A230,'S&amp;P 500'!$A$2:$A$251,0))</f>
        <v>6051.97</v>
      </c>
    </row>
    <row r="231" spans="1:7" x14ac:dyDescent="0.3">
      <c r="A231" s="1">
        <v>45699</v>
      </c>
      <c r="B231" s="2">
        <v>100.81</v>
      </c>
      <c r="C231">
        <f>INDEX(V!$F$2:$F$252,MATCH($A231,V!$A$2:$A$252,0))</f>
        <v>348.83</v>
      </c>
      <c r="D231">
        <f>INDEX(XOM!$F$2:$F$252,MATCH($A231,XOM!$A$2:$A$252,0))</f>
        <v>107.72</v>
      </c>
      <c r="E231">
        <f>INDEX(PFE!$F$2:$F$252,MATCH($A231,PFE!$A$2:$A$252,0))</f>
        <v>24.2</v>
      </c>
      <c r="F231">
        <f>INDEX(PG!$F$2:$F$252,MATCH($A231,PG!$A$2:$A$252,0))</f>
        <v>166.08</v>
      </c>
      <c r="G231">
        <f>INDEX('S&amp;P 500'!$F$2:$F$251,MATCH($A231,'S&amp;P 500'!$A$2:$A$251,0))</f>
        <v>6068.5</v>
      </c>
    </row>
    <row r="232" spans="1:7" x14ac:dyDescent="0.3">
      <c r="A232" s="1">
        <v>45698</v>
      </c>
      <c r="B232" s="2">
        <v>102.76</v>
      </c>
      <c r="C232">
        <f>INDEX(V!$F$2:$F$252,MATCH($A232,V!$A$2:$A$252,0))</f>
        <v>348.75</v>
      </c>
      <c r="D232">
        <f>INDEX(XOM!$F$2:$F$252,MATCH($A232,XOM!$A$2:$A$252,0))</f>
        <v>107.04</v>
      </c>
      <c r="E232">
        <f>INDEX(PFE!$F$2:$F$252,MATCH($A232,PFE!$A$2:$A$252,0))</f>
        <v>24.52</v>
      </c>
      <c r="F232">
        <f>INDEX(PG!$F$2:$F$252,MATCH($A232,PG!$A$2:$A$252,0))</f>
        <v>164.21</v>
      </c>
      <c r="G232">
        <f>INDEX('S&amp;P 500'!$F$2:$F$251,MATCH($A232,'S&amp;P 500'!$A$2:$A$251,0))</f>
        <v>6066.44</v>
      </c>
    </row>
    <row r="233" spans="1:7" x14ac:dyDescent="0.3">
      <c r="A233" s="1">
        <v>45695</v>
      </c>
      <c r="B233" s="2">
        <v>101.39</v>
      </c>
      <c r="C233">
        <f>INDEX(V!$F$2:$F$252,MATCH($A233,V!$A$2:$A$252,0))</f>
        <v>345.57</v>
      </c>
      <c r="D233">
        <f>INDEX(XOM!$F$2:$F$252,MATCH($A233,XOM!$A$2:$A$252,0))</f>
        <v>105.04</v>
      </c>
      <c r="E233">
        <f>INDEX(PFE!$F$2:$F$252,MATCH($A233,PFE!$A$2:$A$252,0))</f>
        <v>24.4</v>
      </c>
      <c r="F233">
        <f>INDEX(PG!$F$2:$F$252,MATCH($A233,PG!$A$2:$A$252,0))</f>
        <v>164.64</v>
      </c>
      <c r="G233">
        <f>INDEX('S&amp;P 500'!$F$2:$F$251,MATCH($A233,'S&amp;P 500'!$A$2:$A$251,0))</f>
        <v>6025.99</v>
      </c>
    </row>
    <row r="234" spans="1:7" x14ac:dyDescent="0.3">
      <c r="A234" s="1">
        <v>45694</v>
      </c>
      <c r="B234" s="2">
        <v>101.57</v>
      </c>
      <c r="C234">
        <f>INDEX(V!$F$2:$F$252,MATCH($A234,V!$A$2:$A$252,0))</f>
        <v>345.03</v>
      </c>
      <c r="D234">
        <f>INDEX(XOM!$F$2:$F$252,MATCH($A234,XOM!$A$2:$A$252,0))</f>
        <v>104.59</v>
      </c>
      <c r="E234">
        <f>INDEX(PFE!$F$2:$F$252,MATCH($A234,PFE!$A$2:$A$252,0))</f>
        <v>24.49</v>
      </c>
      <c r="F234">
        <f>INDEX(PG!$F$2:$F$252,MATCH($A234,PG!$A$2:$A$252,0))</f>
        <v>165.54</v>
      </c>
      <c r="G234">
        <f>INDEX('S&amp;P 500'!$F$2:$F$251,MATCH($A234,'S&amp;P 500'!$A$2:$A$251,0))</f>
        <v>6083.57</v>
      </c>
    </row>
    <row r="235" spans="1:7" x14ac:dyDescent="0.3">
      <c r="A235" s="1">
        <v>45693</v>
      </c>
      <c r="B235" s="2">
        <v>101.11</v>
      </c>
      <c r="C235">
        <f>INDEX(V!$F$2:$F$252,MATCH($A235,V!$A$2:$A$252,0))</f>
        <v>346.98</v>
      </c>
      <c r="D235">
        <f>INDEX(XOM!$F$2:$F$252,MATCH($A235,XOM!$A$2:$A$252,0))</f>
        <v>105.99</v>
      </c>
      <c r="E235">
        <f>INDEX(PFE!$F$2:$F$252,MATCH($A235,PFE!$A$2:$A$252,0))</f>
        <v>25.06</v>
      </c>
      <c r="F235">
        <f>INDEX(PG!$F$2:$F$252,MATCH($A235,PG!$A$2:$A$252,0))</f>
        <v>165.66</v>
      </c>
      <c r="G235">
        <f>INDEX('S&amp;P 500'!$F$2:$F$251,MATCH($A235,'S&amp;P 500'!$A$2:$A$251,0))</f>
        <v>6061.48</v>
      </c>
    </row>
    <row r="236" spans="1:7" x14ac:dyDescent="0.3">
      <c r="A236" s="1">
        <v>45692</v>
      </c>
      <c r="B236" s="2">
        <v>99.49</v>
      </c>
      <c r="C236">
        <f>INDEX(V!$F$2:$F$252,MATCH($A236,V!$A$2:$A$252,0))</f>
        <v>342.72</v>
      </c>
      <c r="D236">
        <f>INDEX(XOM!$F$2:$F$252,MATCH($A236,XOM!$A$2:$A$252,0))</f>
        <v>106.07</v>
      </c>
      <c r="E236">
        <f>INDEX(PFE!$F$2:$F$252,MATCH($A236,PFE!$A$2:$A$252,0))</f>
        <v>24.52</v>
      </c>
      <c r="F236">
        <f>INDEX(PG!$F$2:$F$252,MATCH($A236,PG!$A$2:$A$252,0))</f>
        <v>164.8</v>
      </c>
      <c r="G236">
        <f>INDEX('S&amp;P 500'!$F$2:$F$251,MATCH($A236,'S&amp;P 500'!$A$2:$A$251,0))</f>
        <v>6037.88</v>
      </c>
    </row>
    <row r="237" spans="1:7" x14ac:dyDescent="0.3">
      <c r="A237" s="1">
        <v>45691</v>
      </c>
      <c r="B237" s="2">
        <v>97.89</v>
      </c>
      <c r="C237">
        <f>INDEX(V!$F$2:$F$252,MATCH($A237,V!$A$2:$A$252,0))</f>
        <v>343.38</v>
      </c>
      <c r="D237">
        <f>INDEX(XOM!$F$2:$F$252,MATCH($A237,XOM!$A$2:$A$252,0))</f>
        <v>103.3</v>
      </c>
      <c r="E237">
        <f>INDEX(PFE!$F$2:$F$252,MATCH($A237,PFE!$A$2:$A$252,0))</f>
        <v>24.84</v>
      </c>
      <c r="F237">
        <f>INDEX(PG!$F$2:$F$252,MATCH($A237,PG!$A$2:$A$252,0))</f>
        <v>165.42</v>
      </c>
      <c r="G237">
        <f>INDEX('S&amp;P 500'!$F$2:$F$251,MATCH($A237,'S&amp;P 500'!$A$2:$A$251,0))</f>
        <v>5994.57</v>
      </c>
    </row>
    <row r="238" spans="1:7" x14ac:dyDescent="0.3">
      <c r="A238" s="1">
        <v>45688</v>
      </c>
      <c r="B238" s="2">
        <v>97.68</v>
      </c>
      <c r="C238">
        <f>INDEX(V!$F$2:$F$252,MATCH($A238,V!$A$2:$A$252,0))</f>
        <v>339.39</v>
      </c>
      <c r="D238">
        <f>INDEX(XOM!$F$2:$F$252,MATCH($A238,XOM!$A$2:$A$252,0))</f>
        <v>103.05</v>
      </c>
      <c r="E238">
        <f>INDEX(PFE!$F$2:$F$252,MATCH($A238,PFE!$A$2:$A$252,0))</f>
        <v>25.14</v>
      </c>
      <c r="F238">
        <f>INDEX(PG!$F$2:$F$252,MATCH($A238,PG!$A$2:$A$252,0))</f>
        <v>162.69999999999999</v>
      </c>
      <c r="G238">
        <f>INDEX('S&amp;P 500'!$F$2:$F$251,MATCH($A238,'S&amp;P 500'!$A$2:$A$251,0))</f>
        <v>6040.53</v>
      </c>
    </row>
    <row r="239" spans="1:7" x14ac:dyDescent="0.3">
      <c r="A239" s="1">
        <v>45687</v>
      </c>
      <c r="B239" s="2">
        <v>97.32</v>
      </c>
      <c r="C239">
        <f>INDEX(V!$F$2:$F$252,MATCH($A239,V!$A$2:$A$252,0))</f>
        <v>340.63</v>
      </c>
      <c r="D239">
        <f>INDEX(XOM!$F$2:$F$252,MATCH($A239,XOM!$A$2:$A$252,0))</f>
        <v>105.69</v>
      </c>
      <c r="E239">
        <f>INDEX(PFE!$F$2:$F$252,MATCH($A239,PFE!$A$2:$A$252,0))</f>
        <v>25.51</v>
      </c>
      <c r="F239">
        <f>INDEX(PG!$F$2:$F$252,MATCH($A239,PG!$A$2:$A$252,0))</f>
        <v>164.1</v>
      </c>
      <c r="G239">
        <f>INDEX('S&amp;P 500'!$F$2:$F$251,MATCH($A239,'S&amp;P 500'!$A$2:$A$251,0))</f>
        <v>6071.17</v>
      </c>
    </row>
    <row r="240" spans="1:7" x14ac:dyDescent="0.3">
      <c r="A240" s="1">
        <v>45686</v>
      </c>
      <c r="B240" s="2">
        <v>97.82</v>
      </c>
      <c r="C240">
        <f>INDEX(V!$F$2:$F$252,MATCH($A240,V!$A$2:$A$252,0))</f>
        <v>333.51</v>
      </c>
      <c r="D240">
        <f>INDEX(XOM!$F$2:$F$252,MATCH($A240,XOM!$A$2:$A$252,0))</f>
        <v>104.82</v>
      </c>
      <c r="E240">
        <f>INDEX(PFE!$F$2:$F$252,MATCH($A240,PFE!$A$2:$A$252,0))</f>
        <v>25.23</v>
      </c>
      <c r="F240">
        <f>INDEX(PG!$F$2:$F$252,MATCH($A240,PG!$A$2:$A$252,0))</f>
        <v>162.94</v>
      </c>
      <c r="G240">
        <f>INDEX('S&amp;P 500'!$F$2:$F$251,MATCH($A240,'S&amp;P 500'!$A$2:$A$251,0))</f>
        <v>6039.31</v>
      </c>
    </row>
    <row r="241" spans="1:7" x14ac:dyDescent="0.3">
      <c r="A241" s="1">
        <v>45685</v>
      </c>
      <c r="B241" s="2">
        <v>97.18</v>
      </c>
      <c r="C241">
        <f>INDEX(V!$F$2:$F$252,MATCH($A241,V!$A$2:$A$252,0))</f>
        <v>332.12</v>
      </c>
      <c r="D241">
        <f>INDEX(XOM!$F$2:$F$252,MATCH($A241,XOM!$A$2:$A$252,0))</f>
        <v>104.22</v>
      </c>
      <c r="E241">
        <f>INDEX(PFE!$F$2:$F$252,MATCH($A241,PFE!$A$2:$A$252,0))</f>
        <v>25.36</v>
      </c>
      <c r="F241">
        <f>INDEX(PG!$F$2:$F$252,MATCH($A241,PG!$A$2:$A$252,0))</f>
        <v>162.9</v>
      </c>
      <c r="G241">
        <f>INDEX('S&amp;P 500'!$F$2:$F$251,MATCH($A241,'S&amp;P 500'!$A$2:$A$251,0))</f>
        <v>6067.7</v>
      </c>
    </row>
    <row r="242" spans="1:7" x14ac:dyDescent="0.3">
      <c r="A242" s="1">
        <v>45684</v>
      </c>
      <c r="B242" s="2">
        <v>97.19</v>
      </c>
      <c r="C242">
        <f>INDEX(V!$F$2:$F$252,MATCH($A242,V!$A$2:$A$252,0))</f>
        <v>332.18</v>
      </c>
      <c r="D242">
        <f>INDEX(XOM!$F$2:$F$252,MATCH($A242,XOM!$A$2:$A$252,0))</f>
        <v>106.27</v>
      </c>
      <c r="E242">
        <f>INDEX(PFE!$F$2:$F$252,MATCH($A242,PFE!$A$2:$A$252,0))</f>
        <v>25.46</v>
      </c>
      <c r="F242">
        <f>INDEX(PG!$F$2:$F$252,MATCH($A242,PG!$A$2:$A$252,0))</f>
        <v>166.3</v>
      </c>
      <c r="G242">
        <f>INDEX('S&amp;P 500'!$F$2:$F$251,MATCH($A242,'S&amp;P 500'!$A$2:$A$251,0))</f>
        <v>6012.28</v>
      </c>
    </row>
    <row r="243" spans="1:7" x14ac:dyDescent="0.3">
      <c r="A243" s="1">
        <v>45681</v>
      </c>
      <c r="B243" s="2">
        <v>97.76</v>
      </c>
      <c r="C243">
        <f>INDEX(V!$F$2:$F$252,MATCH($A243,V!$A$2:$A$252,0))</f>
        <v>327.87</v>
      </c>
      <c r="D243">
        <f>INDEX(XOM!$F$2:$F$252,MATCH($A243,XOM!$A$2:$A$252,0))</f>
        <v>104.81</v>
      </c>
      <c r="E243">
        <f>INDEX(PFE!$F$2:$F$252,MATCH($A243,PFE!$A$2:$A$252,0))</f>
        <v>24.73</v>
      </c>
      <c r="F243">
        <f>INDEX(PG!$F$2:$F$252,MATCH($A243,PG!$A$2:$A$252,0))</f>
        <v>160.87</v>
      </c>
      <c r="G243">
        <f>INDEX('S&amp;P 500'!$F$2:$F$251,MATCH($A243,'S&amp;P 500'!$A$2:$A$251,0))</f>
        <v>6101.24</v>
      </c>
    </row>
    <row r="244" spans="1:7" x14ac:dyDescent="0.3">
      <c r="A244" s="1">
        <v>45680</v>
      </c>
      <c r="B244" s="2">
        <v>98.49</v>
      </c>
      <c r="C244">
        <f>INDEX(V!$F$2:$F$252,MATCH($A244,V!$A$2:$A$252,0))</f>
        <v>325.89999999999998</v>
      </c>
      <c r="D244">
        <f>INDEX(XOM!$F$2:$F$252,MATCH($A244,XOM!$A$2:$A$252,0))</f>
        <v>106.25</v>
      </c>
      <c r="E244">
        <f>INDEX(PFE!$F$2:$F$252,MATCH($A244,PFE!$A$2:$A$252,0))</f>
        <v>24.66</v>
      </c>
      <c r="F244">
        <f>INDEX(PG!$F$2:$F$252,MATCH($A244,PG!$A$2:$A$252,0))</f>
        <v>161.87</v>
      </c>
      <c r="G244">
        <f>INDEX('S&amp;P 500'!$F$2:$F$251,MATCH($A244,'S&amp;P 500'!$A$2:$A$251,0))</f>
        <v>6118.71</v>
      </c>
    </row>
    <row r="245" spans="1:7" x14ac:dyDescent="0.3">
      <c r="A245" s="1">
        <v>45679</v>
      </c>
      <c r="B245" s="2">
        <v>95.4</v>
      </c>
      <c r="C245">
        <f>INDEX(V!$F$2:$F$252,MATCH($A245,V!$A$2:$A$252,0))</f>
        <v>321.27999999999997</v>
      </c>
      <c r="D245">
        <f>INDEX(XOM!$F$2:$F$252,MATCH($A245,XOM!$A$2:$A$252,0))</f>
        <v>105.65</v>
      </c>
      <c r="E245">
        <f>INDEX(PFE!$F$2:$F$252,MATCH($A245,PFE!$A$2:$A$252,0))</f>
        <v>24.26</v>
      </c>
      <c r="F245">
        <f>INDEX(PG!$F$2:$F$252,MATCH($A245,PG!$A$2:$A$252,0))</f>
        <v>160.5</v>
      </c>
      <c r="G245">
        <f>INDEX('S&amp;P 500'!$F$2:$F$251,MATCH($A245,'S&amp;P 500'!$A$2:$A$251,0))</f>
        <v>6086.37</v>
      </c>
    </row>
    <row r="246" spans="1:7" x14ac:dyDescent="0.3">
      <c r="A246" s="1">
        <v>45678</v>
      </c>
      <c r="B246" s="2">
        <v>86.97</v>
      </c>
      <c r="C246">
        <f>INDEX(V!$F$2:$F$252,MATCH($A246,V!$A$2:$A$252,0))</f>
        <v>321.35000000000002</v>
      </c>
      <c r="D246">
        <f>INDEX(XOM!$F$2:$F$252,MATCH($A246,XOM!$A$2:$A$252,0))</f>
        <v>107.52</v>
      </c>
      <c r="E246">
        <f>INDEX(PFE!$F$2:$F$252,MATCH($A246,PFE!$A$2:$A$252,0))</f>
        <v>24.84</v>
      </c>
      <c r="F246">
        <f>INDEX(PG!$F$2:$F$252,MATCH($A246,PG!$A$2:$A$252,0))</f>
        <v>157.56</v>
      </c>
      <c r="G246">
        <f>INDEX('S&amp;P 500'!$F$2:$F$251,MATCH($A246,'S&amp;P 500'!$A$2:$A$251,0))</f>
        <v>6049.24</v>
      </c>
    </row>
    <row r="247" spans="1:7" x14ac:dyDescent="0.3">
      <c r="A247" s="1">
        <v>45674</v>
      </c>
      <c r="B247" s="2">
        <v>85.81</v>
      </c>
      <c r="C247">
        <f>INDEX(V!$F$2:$F$252,MATCH($A247,V!$A$2:$A$252,0))</f>
        <v>317.37</v>
      </c>
      <c r="D247">
        <f>INDEX(XOM!$F$2:$F$252,MATCH($A247,XOM!$A$2:$A$252,0))</f>
        <v>108.34</v>
      </c>
      <c r="E247">
        <f>INDEX(PFE!$F$2:$F$252,MATCH($A247,PFE!$A$2:$A$252,0))</f>
        <v>24.53</v>
      </c>
      <c r="F247">
        <f>INDEX(PG!$F$2:$F$252,MATCH($A247,PG!$A$2:$A$252,0))</f>
        <v>156.97999999999999</v>
      </c>
      <c r="G247">
        <f>INDEX('S&amp;P 500'!$F$2:$F$251,MATCH($A247,'S&amp;P 500'!$A$2:$A$251,0))</f>
        <v>5996.66</v>
      </c>
    </row>
    <row r="248" spans="1:7" x14ac:dyDescent="0.3">
      <c r="A248" s="1">
        <v>45673</v>
      </c>
      <c r="B248" s="2">
        <v>84.24</v>
      </c>
      <c r="C248">
        <f>INDEX(V!$F$2:$F$252,MATCH($A248,V!$A$2:$A$252,0))</f>
        <v>315.01</v>
      </c>
      <c r="D248">
        <f>INDEX(XOM!$F$2:$F$252,MATCH($A248,XOM!$A$2:$A$252,0))</f>
        <v>107.38</v>
      </c>
      <c r="E248">
        <f>INDEX(PFE!$F$2:$F$252,MATCH($A248,PFE!$A$2:$A$252,0))</f>
        <v>24.7</v>
      </c>
      <c r="F248">
        <f>INDEX(PG!$F$2:$F$252,MATCH($A248,PG!$A$2:$A$252,0))</f>
        <v>156.37</v>
      </c>
      <c r="G248">
        <f>INDEX('S&amp;P 500'!$F$2:$F$251,MATCH($A248,'S&amp;P 500'!$A$2:$A$251,0))</f>
        <v>5937.34</v>
      </c>
    </row>
    <row r="249" spans="1:7" x14ac:dyDescent="0.3">
      <c r="A249" s="1">
        <v>45672</v>
      </c>
      <c r="B249" s="2">
        <v>84.83</v>
      </c>
      <c r="C249">
        <f>INDEX(V!$F$2:$F$252,MATCH($A249,V!$A$2:$A$252,0))</f>
        <v>314.05</v>
      </c>
      <c r="D249">
        <f>INDEX(XOM!$F$2:$F$252,MATCH($A249,XOM!$A$2:$A$252,0))</f>
        <v>107.56</v>
      </c>
      <c r="E249">
        <f>INDEX(PFE!$F$2:$F$252,MATCH($A249,PFE!$A$2:$A$252,0))</f>
        <v>24.45</v>
      </c>
      <c r="F249">
        <f>INDEX(PG!$F$2:$F$252,MATCH($A249,PG!$A$2:$A$252,0))</f>
        <v>155.54</v>
      </c>
      <c r="G249">
        <f>INDEX('S&amp;P 500'!$F$2:$F$251,MATCH($A249,'S&amp;P 500'!$A$2:$A$251,0))</f>
        <v>5949.91</v>
      </c>
    </row>
    <row r="250" spans="1:7" x14ac:dyDescent="0.3">
      <c r="A250" s="1">
        <v>45671</v>
      </c>
      <c r="B250" s="2">
        <v>82.84</v>
      </c>
      <c r="C250">
        <f>INDEX(V!$F$2:$F$252,MATCH($A250,V!$A$2:$A$252,0))</f>
        <v>306.91000000000003</v>
      </c>
      <c r="D250">
        <f>INDEX(XOM!$F$2:$F$252,MATCH($A250,XOM!$A$2:$A$252,0))</f>
        <v>105.84</v>
      </c>
      <c r="E250">
        <f>INDEX(PFE!$F$2:$F$252,MATCH($A250,PFE!$A$2:$A$252,0))</f>
        <v>24.63</v>
      </c>
      <c r="F250">
        <f>INDEX(PG!$F$2:$F$252,MATCH($A250,PG!$A$2:$A$252,0))</f>
        <v>155.63</v>
      </c>
      <c r="G250">
        <f>INDEX('S&amp;P 500'!$F$2:$F$251,MATCH($A250,'S&amp;P 500'!$A$2:$A$251,0))</f>
        <v>5842.91</v>
      </c>
    </row>
    <row r="251" spans="1:7" x14ac:dyDescent="0.3">
      <c r="A251" s="1">
        <v>45670</v>
      </c>
      <c r="B251" s="2">
        <v>84.03</v>
      </c>
      <c r="C251">
        <f>INDEX(V!$F$2:$F$252,MATCH($A251,V!$A$2:$A$252,0))</f>
        <v>304.76</v>
      </c>
      <c r="D251">
        <f>INDEX(XOM!$F$2:$F$252,MATCH($A251,XOM!$A$2:$A$252,0))</f>
        <v>105.42</v>
      </c>
      <c r="E251">
        <f>INDEX(PFE!$F$2:$F$252,MATCH($A251,PFE!$A$2:$A$252,0))</f>
        <v>24.99</v>
      </c>
      <c r="F251">
        <f>INDEX(PG!$F$2:$F$252,MATCH($A251,PG!$A$2:$A$252,0))</f>
        <v>154.75</v>
      </c>
      <c r="G251">
        <f>INDEX('S&amp;P 500'!$F$2:$F$251,MATCH($A251,'S&amp;P 500'!$A$2:$A$251,0))</f>
        <v>5836.22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251"/>
  <sheetViews>
    <sheetView workbookViewId="0">
      <selection activeCell="B2" sqref="B2"/>
    </sheetView>
  </sheetViews>
  <sheetFormatPr defaultRowHeight="14.4" x14ac:dyDescent="0.3"/>
  <cols>
    <col min="1" max="1" width="12.44140625" customWidth="1"/>
    <col min="2" max="2" width="20.44140625" customWidth="1"/>
    <col min="3" max="3" width="16.88671875" customWidth="1"/>
    <col min="4" max="4" width="18" customWidth="1"/>
    <col min="5" max="5" width="14.109375" customWidth="1"/>
    <col min="6" max="6" width="15.109375" customWidth="1"/>
    <col min="7" max="7" width="16.88671875" customWidth="1"/>
  </cols>
  <sheetData>
    <row r="1" spans="1:7" x14ac:dyDescent="0.3">
      <c r="A1" s="4" t="s">
        <v>0</v>
      </c>
      <c r="B1" s="4" t="s">
        <v>12</v>
      </c>
      <c r="C1" s="4" t="s">
        <v>13</v>
      </c>
      <c r="D1" s="4" t="s">
        <v>14</v>
      </c>
      <c r="E1" s="4" t="s">
        <v>15</v>
      </c>
      <c r="F1" s="4" t="s">
        <v>16</v>
      </c>
      <c r="G1" s="4" t="s">
        <v>49</v>
      </c>
    </row>
    <row r="2" spans="1:7" x14ac:dyDescent="0.3">
      <c r="A2" s="1">
        <v>46031</v>
      </c>
      <c r="B2">
        <f>(Prices!B2/Prices!B3)-1</f>
        <v>-1.1819286424389785E-2</v>
      </c>
      <c r="C2">
        <f>(Prices!C2/Prices!C3)-1</f>
        <v>-6.9840729069075014E-3</v>
      </c>
      <c r="D2">
        <f>(Prices!D2/Prices!D3)-1</f>
        <v>1.3831258644536604E-2</v>
      </c>
      <c r="E2">
        <f>(Prices!E2/Prices!E3)-1</f>
        <v>7.5128509292210488E-3</v>
      </c>
      <c r="F2">
        <f>(Prices!F2/Prices!F3)-1</f>
        <v>2.4023175298524269E-3</v>
      </c>
      <c r="G2">
        <f>(Prices!G2/Prices!G3)-1</f>
        <v>6.4755123918942559E-3</v>
      </c>
    </row>
    <row r="3" spans="1:7" x14ac:dyDescent="0.3">
      <c r="A3" s="1">
        <v>46030</v>
      </c>
      <c r="B3">
        <f>(Prices!B3/Prices!B4)-1</f>
        <v>-2.2043425548330386E-3</v>
      </c>
      <c r="C3">
        <f>(Prices!C3/Prices!C4)-1</f>
        <v>-1.0256266157131599E-2</v>
      </c>
      <c r="D3">
        <f>(Prices!D3/Prices!D4)-1</f>
        <v>3.7302725968436201E-2</v>
      </c>
      <c r="E3">
        <f>(Prices!E3/Prices!E4)-1</f>
        <v>3.9556962025311115E-4</v>
      </c>
      <c r="F3">
        <f>(Prices!F3/Prices!F4)-1</f>
        <v>2.5282526803825034E-2</v>
      </c>
      <c r="G3">
        <f>(Prices!G3/Prices!G4)-1</f>
        <v>7.6579303648571795E-5</v>
      </c>
    </row>
    <row r="4" spans="1:7" x14ac:dyDescent="0.3">
      <c r="A4" s="1">
        <v>46029</v>
      </c>
      <c r="B4">
        <f>(Prices!B4/Prices!B5)-1</f>
        <v>8.8251516822945852E-4</v>
      </c>
      <c r="C4">
        <f>(Prices!C4/Prices!C5)-1</f>
        <v>-4.6985121378230188E-3</v>
      </c>
      <c r="D4">
        <f>(Prices!D4/Prices!D5)-1</f>
        <v>-2.1148285832300773E-2</v>
      </c>
      <c r="E4">
        <f>(Prices!E4/Prices!E5)-1</f>
        <v>-5.8985450255603089E-3</v>
      </c>
      <c r="F4">
        <f>(Prices!F4/Prices!F5)-1</f>
        <v>-1.3365735115431376E-2</v>
      </c>
      <c r="G4">
        <f>(Prices!G4/Prices!G5)-1</f>
        <v>-3.4399739662078765E-3</v>
      </c>
    </row>
    <row r="5" spans="1:7" x14ac:dyDescent="0.3">
      <c r="A5" s="1">
        <v>46028</v>
      </c>
      <c r="B5">
        <f>(Prices!B5/Prices!B6)-1</f>
        <v>-8.8563306363436123E-3</v>
      </c>
      <c r="C5">
        <f>(Prices!C5/Prices!C6)-1</f>
        <v>1.0627473148671518E-2</v>
      </c>
      <c r="D5">
        <f>(Prices!D5/Prices!D6)-1</f>
        <v>-3.4380982769623536E-2</v>
      </c>
      <c r="E5">
        <f>(Prices!E5/Prices!E6)-1</f>
        <v>1.0329757647993487E-2</v>
      </c>
      <c r="F5">
        <f>(Prices!F5/Prices!F6)-1</f>
        <v>-3.2770535014604585E-3</v>
      </c>
      <c r="G5">
        <f>(Prices!G5/Prices!G6)-1</f>
        <v>6.1967096732129523E-3</v>
      </c>
    </row>
    <row r="6" spans="1:7" x14ac:dyDescent="0.3">
      <c r="A6" s="1">
        <v>46027</v>
      </c>
      <c r="B6">
        <f>(Prices!B6/Prices!B7)-1</f>
        <v>5.1654027915155609E-3</v>
      </c>
      <c r="C6">
        <f>(Prices!C6/Prices!C7)-1</f>
        <v>2.1126760563380254E-2</v>
      </c>
      <c r="D6">
        <f>(Prices!D6/Prices!D7)-1</f>
        <v>2.2095393395841878E-2</v>
      </c>
      <c r="E6">
        <f>(Prices!E6/Prices!E7)-1</f>
        <v>-3.9714058776796346E-4</v>
      </c>
      <c r="F6">
        <f>(Prices!F6/Prices!F7)-1</f>
        <v>-1.0014810635446736E-2</v>
      </c>
      <c r="G6">
        <f>(Prices!G6/Prices!G7)-1</f>
        <v>6.3541868667500445E-3</v>
      </c>
    </row>
    <row r="7" spans="1:7" x14ac:dyDescent="0.3">
      <c r="A7" s="1">
        <v>46024</v>
      </c>
      <c r="B7">
        <f>(Prices!B7/Prices!B8)-1</f>
        <v>-2.954351535836186E-2</v>
      </c>
      <c r="C7">
        <f>(Prices!C7/Prices!C8)-1</f>
        <v>-1.2061247184283252E-2</v>
      </c>
      <c r="D7">
        <f>(Prices!D7/Prices!D8)-1</f>
        <v>1.9195612431444298E-2</v>
      </c>
      <c r="E7">
        <f>(Prices!E7/Prices!E8)-1</f>
        <v>1.1244979919678766E-2</v>
      </c>
      <c r="F7">
        <f>(Prices!F7/Prices!F8)-1</f>
        <v>-1.0606377782429788E-2</v>
      </c>
      <c r="G7">
        <f>(Prices!G7/Prices!G8)-1</f>
        <v>1.8946753341611E-3</v>
      </c>
    </row>
    <row r="8" spans="1:7" x14ac:dyDescent="0.3">
      <c r="A8" s="1">
        <v>46022</v>
      </c>
      <c r="B8">
        <f>(Prices!B8/Prices!B9)-1</f>
        <v>-2.1326508850494363E-4</v>
      </c>
      <c r="C8">
        <f>(Prices!C8/Prices!C9)-1</f>
        <v>-8.2291725581132846E-3</v>
      </c>
      <c r="D8">
        <f>(Prices!D8/Prices!D9)-1</f>
        <v>-5.3723448218860881E-3</v>
      </c>
      <c r="E8">
        <f>(Prices!E8/Prices!E9)-1</f>
        <v>-3.6014405762304635E-3</v>
      </c>
      <c r="F8">
        <f>(Prices!F8/Prices!F9)-1</f>
        <v>-5.1371051718154259E-3</v>
      </c>
      <c r="G8">
        <f>(Prices!G8/Prices!G9)-1</f>
        <v>-7.3576325649918894E-3</v>
      </c>
    </row>
    <row r="9" spans="1:7" x14ac:dyDescent="0.3">
      <c r="A9" s="1">
        <v>46021</v>
      </c>
      <c r="B9">
        <f>(Prices!B9/Prices!B10)-1</f>
        <v>-3.9298990971854408E-3</v>
      </c>
      <c r="C9">
        <f>(Prices!C9/Prices!C10)-1</f>
        <v>-2.7917994416400971E-3</v>
      </c>
      <c r="D9">
        <f>(Prices!D9/Prices!D10)-1</f>
        <v>3.8164772255868673E-3</v>
      </c>
      <c r="E9">
        <f>(Prices!E9/Prices!E10)-1</f>
        <v>-4.0000000000006697E-4</v>
      </c>
      <c r="F9">
        <f>(Prices!F9/Prices!F10)-1</f>
        <v>-3.5968734868920826E-3</v>
      </c>
      <c r="G9">
        <f>(Prices!G9/Prices!G10)-1</f>
        <v>-1.3756671985912794E-3</v>
      </c>
    </row>
    <row r="10" spans="1:7" x14ac:dyDescent="0.3">
      <c r="A10" s="1">
        <v>46020</v>
      </c>
      <c r="B10">
        <f>(Prices!B10/Prices!B11)-1</f>
        <v>-3.3873187255212267E-3</v>
      </c>
      <c r="C10">
        <f>(Prices!C10/Prices!C11)-1</f>
        <v>-1.0985915492957021E-3</v>
      </c>
      <c r="D10">
        <f>(Prices!D10/Prices!D11)-1</f>
        <v>1.1921753001427282E-2</v>
      </c>
      <c r="E10">
        <f>(Prices!E10/Prices!E11)-1</f>
        <v>-3.5870864886409226E-3</v>
      </c>
      <c r="F10">
        <f>(Prices!F10/Prices!F11)-1</f>
        <v>-1.1745198286583491E-3</v>
      </c>
      <c r="G10">
        <f>(Prices!G10/Prices!G11)-1</f>
        <v>-3.4920937266411656E-3</v>
      </c>
    </row>
    <row r="11" spans="1:7" x14ac:dyDescent="0.3">
      <c r="A11" s="1">
        <v>46017</v>
      </c>
      <c r="B11">
        <f>(Prices!B11/Prices!B12)-1</f>
        <v>8.8637334472447815E-3</v>
      </c>
      <c r="C11">
        <f>(Prices!C11/Prices!C12)-1</f>
        <v>-3.942107337950862E-4</v>
      </c>
      <c r="D11">
        <f>(Prices!D11/Prices!D12)-1</f>
        <v>-9.2266398255325122E-4</v>
      </c>
      <c r="E11">
        <f>(Prices!E11/Prices!E12)-1</f>
        <v>2.3971234518578299E-3</v>
      </c>
      <c r="F11">
        <f>(Prices!F11/Prices!F12)-1</f>
        <v>1.7302235448819481E-3</v>
      </c>
      <c r="G11">
        <f>(Prices!G11/Prices!G12)-1</f>
        <v>-3.043832632483312E-4</v>
      </c>
    </row>
    <row r="12" spans="1:7" x14ac:dyDescent="0.3">
      <c r="A12" s="1">
        <v>46015</v>
      </c>
      <c r="B12">
        <f>(Prices!B12/Prices!B13)-1</f>
        <v>1.4973262032085266E-3</v>
      </c>
      <c r="C12">
        <f>(Prices!C12/Prices!C13)-1</f>
        <v>4.9804742769823385E-3</v>
      </c>
      <c r="D12">
        <f>(Prices!D12/Prices!D13)-1</f>
        <v>-1.6747613465081246E-3</v>
      </c>
      <c r="E12">
        <f>(Prices!E12/Prices!E13)-1</f>
        <v>6.0289389067524901E-3</v>
      </c>
      <c r="F12">
        <f>(Prices!F12/Prices!F13)-1</f>
        <v>9.1493225310796955E-3</v>
      </c>
      <c r="G12">
        <f>(Prices!G12/Prices!G13)-1</f>
        <v>3.2215161386959235E-3</v>
      </c>
    </row>
    <row r="13" spans="1:7" x14ac:dyDescent="0.3">
      <c r="A13" s="1">
        <v>46014</v>
      </c>
      <c r="B13">
        <f>(Prices!B13/Prices!B14)-1</f>
        <v>2.8960634988737244E-3</v>
      </c>
      <c r="C13">
        <f>(Prices!C13/Prices!C14)-1</f>
        <v>3.6638359510352547E-3</v>
      </c>
      <c r="D13">
        <f>(Prices!D13/Prices!D14)-1</f>
        <v>1.0749047820566959E-2</v>
      </c>
      <c r="E13">
        <f>(Prices!E13/Prices!E14)-1</f>
        <v>-1.3090043633478876E-2</v>
      </c>
      <c r="F13">
        <f>(Prices!F13/Prices!F14)-1</f>
        <v>3.4340178008269717E-3</v>
      </c>
      <c r="G13">
        <f>(Prices!G13/Prices!G14)-1</f>
        <v>4.5504173154282679E-3</v>
      </c>
    </row>
    <row r="14" spans="1:7" x14ac:dyDescent="0.3">
      <c r="A14" s="1">
        <v>46013</v>
      </c>
      <c r="B14">
        <f>(Prices!B14/Prices!B15)-1</f>
        <v>-1.2289437440406781E-2</v>
      </c>
      <c r="C14">
        <f>(Prices!C14/Prices!C15)-1</f>
        <v>8.1317108088760914E-3</v>
      </c>
      <c r="D14">
        <f>(Prices!D14/Prices!D15)-1</f>
        <v>1.251178335761427E-2</v>
      </c>
      <c r="E14">
        <f>(Prices!E14/Prices!E15)-1</f>
        <v>7.9396585946800435E-4</v>
      </c>
      <c r="F14">
        <f>(Prices!F14/Prices!F15)-1</f>
        <v>-1.2252526650976092E-2</v>
      </c>
      <c r="G14">
        <f>(Prices!G14/Prices!G15)-1</f>
        <v>6.4364620674519646E-3</v>
      </c>
    </row>
    <row r="15" spans="1:7" x14ac:dyDescent="0.3">
      <c r="A15" s="1">
        <v>46010</v>
      </c>
      <c r="B15">
        <f>(Prices!B15/Prices!B16)-1</f>
        <v>4.1489361702127248E-3</v>
      </c>
      <c r="C15">
        <f>(Prices!C15/Prices!C16)-1</f>
        <v>9.363891217016862E-3</v>
      </c>
      <c r="D15">
        <f>(Prices!D15/Prices!D16)-1</f>
        <v>1.2871117212973626E-3</v>
      </c>
      <c r="E15">
        <f>(Prices!E15/Prices!E16)-1</f>
        <v>5.990415335463295E-3</v>
      </c>
      <c r="F15">
        <f>(Prices!F15/Prices!F16)-1</f>
        <v>-7.2842221000549712E-3</v>
      </c>
      <c r="G15">
        <f>(Prices!G15/Prices!G16)-1</f>
        <v>8.8180245499471788E-3</v>
      </c>
    </row>
    <row r="16" spans="1:7" x14ac:dyDescent="0.3">
      <c r="A16" s="1">
        <v>46009</v>
      </c>
      <c r="B16">
        <f>(Prices!B16/Prices!B17)-1</f>
        <v>-8.3342124696698106E-3</v>
      </c>
      <c r="C16">
        <f>(Prices!C16/Prices!C17)-1</f>
        <v>4.645625852907731E-3</v>
      </c>
      <c r="D16">
        <f>(Prices!D16/Prices!D17)-1</f>
        <v>-7.4099310109870808E-3</v>
      </c>
      <c r="E16">
        <f>(Prices!E16/Prices!E17)-1</f>
        <v>0</v>
      </c>
      <c r="F16">
        <f>(Prices!F16/Prices!F17)-1</f>
        <v>-1.5492862458561629E-2</v>
      </c>
      <c r="G16">
        <f>(Prices!G16/Prices!G17)-1</f>
        <v>7.9343234996123169E-3</v>
      </c>
    </row>
    <row r="17" spans="1:7" x14ac:dyDescent="0.3">
      <c r="A17" s="1">
        <v>46008</v>
      </c>
      <c r="B17">
        <f>(Prices!B17/Prices!B18)-1</f>
        <v>2.3263191286879703E-3</v>
      </c>
      <c r="C17">
        <f>(Prices!C17/Prices!C18)-1</f>
        <v>-2.0283387905305483E-3</v>
      </c>
      <c r="D17">
        <f>(Prices!D17/Prices!D18)-1</f>
        <v>2.3805371468433867E-2</v>
      </c>
      <c r="E17">
        <f>(Prices!E17/Prices!E18)-1</f>
        <v>-1.9193106149627992E-2</v>
      </c>
      <c r="F17">
        <f>(Prices!F17/Prices!F18)-1</f>
        <v>1.7905102954342E-2</v>
      </c>
      <c r="G17">
        <f>(Prices!G17/Prices!G18)-1</f>
        <v>-1.1592203827500702E-2</v>
      </c>
    </row>
    <row r="18" spans="1:7" x14ac:dyDescent="0.3">
      <c r="A18" s="1">
        <v>46007</v>
      </c>
      <c r="B18">
        <f>(Prices!B18/Prices!B19)-1</f>
        <v>8.5315132771675017E-3</v>
      </c>
      <c r="C18">
        <f>(Prices!C18/Prices!C19)-1</f>
        <v>-5.1313096370606548E-3</v>
      </c>
      <c r="D18">
        <f>(Prices!D18/Prices!D19)-1</f>
        <v>-2.6154891304347783E-2</v>
      </c>
      <c r="E18">
        <f>(Prices!E18/Prices!E19)-1</f>
        <v>-3.4052213393870545E-2</v>
      </c>
      <c r="F18">
        <f>(Prices!F18/Prices!F19)-1</f>
        <v>5.5122993178535751E-4</v>
      </c>
      <c r="G18">
        <f>(Prices!G18/Prices!G19)-1</f>
        <v>-2.3839178699950336E-3</v>
      </c>
    </row>
    <row r="19" spans="1:7" x14ac:dyDescent="0.3">
      <c r="A19" s="1">
        <v>46006</v>
      </c>
      <c r="B19">
        <f>(Prices!B19/Prices!B20)-1</f>
        <v>-1.4917533354343981E-2</v>
      </c>
      <c r="C19">
        <f>(Prices!C19/Prices!C20)-1</f>
        <v>-2.7024695972169832E-3</v>
      </c>
      <c r="D19">
        <f>(Prices!D19/Prices!D20)-1</f>
        <v>-8.9210570611006901E-3</v>
      </c>
      <c r="E19">
        <f>(Prices!E19/Prices!E20)-1</f>
        <v>2.2437137330754364E-2</v>
      </c>
      <c r="F19">
        <f>(Prices!F19/Prices!F20)-1</f>
        <v>1.6031923830859718E-2</v>
      </c>
      <c r="G19">
        <f>(Prices!G19/Prices!G20)-1</f>
        <v>-1.5965058492165562E-3</v>
      </c>
    </row>
    <row r="20" spans="1:7" x14ac:dyDescent="0.3">
      <c r="A20" s="1">
        <v>46003</v>
      </c>
      <c r="B20">
        <f>(Prices!B20/Prices!B21)-1</f>
        <v>1.1690934211924686E-2</v>
      </c>
      <c r="C20">
        <f>(Prices!C20/Prices!C21)-1</f>
        <v>6.3651882070421273E-3</v>
      </c>
      <c r="D20">
        <f>(Prices!D20/Prices!D21)-1</f>
        <v>-6.0230885059395778E-3</v>
      </c>
      <c r="E20">
        <f>(Prices!E20/Prices!E21)-1</f>
        <v>1.9379844961240345E-3</v>
      </c>
      <c r="F20">
        <f>(Prices!F20/Prices!F21)-1</f>
        <v>1.4776925262858898E-2</v>
      </c>
      <c r="G20">
        <f>(Prices!G20/Prices!G21)-1</f>
        <v>-1.0663671931604113E-2</v>
      </c>
    </row>
    <row r="21" spans="1:7" x14ac:dyDescent="0.3">
      <c r="A21" s="1">
        <v>46002</v>
      </c>
      <c r="B21">
        <f>(Prices!B21/Prices!B22)-1</f>
        <v>1.4885125660662357E-2</v>
      </c>
      <c r="C21">
        <f>(Prices!C21/Prices!C22)-1</f>
        <v>6.1093543732539057E-2</v>
      </c>
      <c r="D21">
        <f>(Prices!D21/Prices!D22)-1</f>
        <v>0</v>
      </c>
      <c r="E21">
        <f>(Prices!E21/Prices!E22)-1</f>
        <v>7.7579519006976128E-4</v>
      </c>
      <c r="F21">
        <f>(Prices!F21/Prices!F22)-1</f>
        <v>6.7229294807609197E-3</v>
      </c>
      <c r="G21">
        <f>(Prices!G21/Prices!G22)-1</f>
        <v>2.0793764194066977E-3</v>
      </c>
    </row>
    <row r="22" spans="1:7" x14ac:dyDescent="0.3">
      <c r="A22" s="1">
        <v>46001</v>
      </c>
      <c r="B22">
        <f>(Prices!B22/Prices!B23)-1</f>
        <v>-4.1360769310309187E-2</v>
      </c>
      <c r="C22">
        <f>(Prices!C22/Prices!C23)-1</f>
        <v>-2.3583460949463397E-3</v>
      </c>
      <c r="D22">
        <f>(Prices!D22/Prices!D23)-1</f>
        <v>1.0909090909090979E-2</v>
      </c>
      <c r="E22">
        <f>(Prices!E22/Prices!E23)-1</f>
        <v>1.7765495459929115E-2</v>
      </c>
      <c r="F22">
        <f>(Prices!F22/Prices!F23)-1</f>
        <v>1.3607390961827281E-3</v>
      </c>
      <c r="G22">
        <f>(Prices!G22/Prices!G23)-1</f>
        <v>6.7494967480494772E-3</v>
      </c>
    </row>
    <row r="23" spans="1:7" x14ac:dyDescent="0.3">
      <c r="A23" s="1">
        <v>46000</v>
      </c>
      <c r="B23">
        <f>(Prices!B23/Prices!B24)-1</f>
        <v>-8.2653166649460097E-4</v>
      </c>
      <c r="C23">
        <f>(Prices!C23/Prices!C24)-1</f>
        <v>-1.0402643495287522E-3</v>
      </c>
      <c r="D23">
        <f>(Prices!D23/Prices!D24)-1</f>
        <v>1.9572340058630733E-2</v>
      </c>
      <c r="E23">
        <f>(Prices!E23/Prices!E24)-1</f>
        <v>-1.7074117190531646E-2</v>
      </c>
      <c r="F23">
        <f>(Prices!F23/Prices!F24)-1</f>
        <v>9.3248518143702608E-3</v>
      </c>
      <c r="G23">
        <f>(Prices!G23/Prices!G24)-1</f>
        <v>-8.7635890402559813E-4</v>
      </c>
    </row>
    <row r="24" spans="1:7" x14ac:dyDescent="0.3">
      <c r="A24" s="1">
        <v>45999</v>
      </c>
      <c r="B24">
        <f>(Prices!B24/Prices!B25)-1</f>
        <v>-3.4417398244213748E-2</v>
      </c>
      <c r="C24">
        <f>(Prices!C24/Prices!C25)-1</f>
        <v>-1.3283419876826574E-2</v>
      </c>
      <c r="D24">
        <f>(Prices!D24/Prices!D25)-1</f>
        <v>-4.80521709284365E-3</v>
      </c>
      <c r="E24">
        <f>(Prices!E24/Prices!E25)-1</f>
        <v>-9.9884748367269349E-3</v>
      </c>
      <c r="F24">
        <f>(Prices!F24/Prices!F25)-1</f>
        <v>-3.5622168002788279E-2</v>
      </c>
      <c r="G24">
        <f>(Prices!G24/Prices!G25)-1</f>
        <v>-3.4772356776897606E-3</v>
      </c>
    </row>
    <row r="25" spans="1:7" x14ac:dyDescent="0.3">
      <c r="A25" s="1">
        <v>45996</v>
      </c>
      <c r="B25">
        <f>(Prices!B25/Prices!B26)-1</f>
        <v>-2.88703739585352E-2</v>
      </c>
      <c r="C25">
        <f>(Prices!C25/Prices!C26)-1</f>
        <v>1.2656679914399227E-2</v>
      </c>
      <c r="D25">
        <f>(Prices!D25/Prices!D26)-1</f>
        <v>-5.1220761481987065E-3</v>
      </c>
      <c r="E25">
        <f>(Prices!E25/Prices!E26)-1</f>
        <v>1.2840466926070215E-2</v>
      </c>
      <c r="F25">
        <f>(Prices!F25/Prices!F26)-1</f>
        <v>-1.3139790864061807E-2</v>
      </c>
      <c r="G25">
        <f>(Prices!G25/Prices!G26)-1</f>
        <v>1.9366731222436595E-3</v>
      </c>
    </row>
    <row r="26" spans="1:7" x14ac:dyDescent="0.3">
      <c r="A26" s="1">
        <v>45995</v>
      </c>
      <c r="B26">
        <f>(Prices!B26/Prices!B27)-1</f>
        <v>-7.1181223547517325E-3</v>
      </c>
      <c r="C26">
        <f>(Prices!C26/Prices!C27)-1</f>
        <v>-7.6150602226874309E-3</v>
      </c>
      <c r="D26">
        <f>(Prices!D26/Prices!D27)-1</f>
        <v>-5.6027164685907849E-3</v>
      </c>
      <c r="E26">
        <f>(Prices!E26/Prices!E27)-1</f>
        <v>5.0840829096596707E-3</v>
      </c>
      <c r="F26">
        <f>(Prices!F26/Prices!F27)-1</f>
        <v>-9.2018267330106207E-3</v>
      </c>
      <c r="G26">
        <f>(Prices!G26/Prices!G27)-1</f>
        <v>1.0803361305278258E-3</v>
      </c>
    </row>
    <row r="27" spans="1:7" x14ac:dyDescent="0.3">
      <c r="A27" s="1">
        <v>45994</v>
      </c>
      <c r="B27">
        <f>(Prices!B27/Prices!B28)-1</f>
        <v>-4.9291266575217207E-2</v>
      </c>
      <c r="C27">
        <f>(Prices!C27/Prices!C28)-1</f>
        <v>-3.0337964929239014E-5</v>
      </c>
      <c r="D27">
        <f>(Prices!D27/Prices!D28)-1</f>
        <v>2.0974172300225469E-2</v>
      </c>
      <c r="E27">
        <f>(Prices!E27/Prices!E28)-1</f>
        <v>1.6699801192842978E-2</v>
      </c>
      <c r="F27">
        <f>(Prices!F27/Prices!F28)-1</f>
        <v>5.8275058275056857E-3</v>
      </c>
      <c r="G27">
        <f>(Prices!G27/Prices!G28)-1</f>
        <v>2.9797770511774679E-3</v>
      </c>
    </row>
    <row r="28" spans="1:7" x14ac:dyDescent="0.3">
      <c r="A28" s="1">
        <v>45993</v>
      </c>
      <c r="B28">
        <f>(Prices!B28/Prices!B29)-1</f>
        <v>2.0159442866305444E-3</v>
      </c>
      <c r="C28">
        <f>(Prices!C28/Prices!C29)-1</f>
        <v>-2.3305790126819659E-3</v>
      </c>
      <c r="D28">
        <f>(Prices!D28/Prices!D29)-1</f>
        <v>-1.0717654119866249E-2</v>
      </c>
      <c r="E28">
        <f>(Prices!E28/Prices!E29)-1</f>
        <v>-4.7487138899882098E-3</v>
      </c>
      <c r="F28">
        <f>(Prices!F28/Prices!F29)-1</f>
        <v>-1.0716223548562054E-2</v>
      </c>
      <c r="G28">
        <f>(Prices!G28/Prices!G29)-1</f>
        <v>2.4572008167182968E-3</v>
      </c>
    </row>
    <row r="29" spans="1:7" x14ac:dyDescent="0.3">
      <c r="A29" s="1">
        <v>45992</v>
      </c>
      <c r="B29">
        <f>(Prices!B29/Prices!B30)-1</f>
        <v>1.440788250604208E-2</v>
      </c>
      <c r="C29">
        <f>(Prices!C29/Prices!C30)-1</f>
        <v>-1.21097954790097E-2</v>
      </c>
      <c r="D29">
        <f>(Prices!D29/Prices!D30)-1</f>
        <v>6.1249137336092385E-3</v>
      </c>
      <c r="E29">
        <f>(Prices!E29/Prices!E30)-1</f>
        <v>-1.8259518259518215E-2</v>
      </c>
      <c r="F29">
        <f>(Prices!F29/Prices!F30)-1</f>
        <v>-4.8596112311014572E-3</v>
      </c>
      <c r="G29">
        <f>(Prices!G29/Prices!G30)-1</f>
        <v>-5.3233349247856498E-3</v>
      </c>
    </row>
    <row r="30" spans="1:7" x14ac:dyDescent="0.3">
      <c r="A30" s="1">
        <v>45989</v>
      </c>
      <c r="B30">
        <f>(Prices!B30/Prices!B31)-1</f>
        <v>1.3566986998304165E-2</v>
      </c>
      <c r="C30">
        <f>(Prices!C30/Prices!C31)-1</f>
        <v>1.9473321549476896E-3</v>
      </c>
      <c r="D30">
        <f>(Prices!D30/Prices!D31)-1</f>
        <v>1.0020040080160442E-2</v>
      </c>
      <c r="E30">
        <f>(Prices!E30/Prices!E31)-1</f>
        <v>1.166861143523823E-3</v>
      </c>
      <c r="F30">
        <f>(Prices!F30/Prices!F31)-1</f>
        <v>-6.0708263069142454E-4</v>
      </c>
      <c r="G30">
        <f>(Prices!G30/Prices!G31)-1</f>
        <v>5.3547759228842473E-3</v>
      </c>
    </row>
    <row r="31" spans="1:7" x14ac:dyDescent="0.3">
      <c r="A31" s="1">
        <v>45987</v>
      </c>
      <c r="B31">
        <f>(Prices!B31/Prices!B32)-1</f>
        <v>1.6666666666666607E-2</v>
      </c>
      <c r="C31">
        <f>(Prices!C31/Prices!C32)-1</f>
        <v>-2.2120587092336885E-3</v>
      </c>
      <c r="D31">
        <f>(Prices!D31/Prices!D32)-1</f>
        <v>2.270544057287438E-3</v>
      </c>
      <c r="E31">
        <f>(Prices!E31/Prices!E32)-1</f>
        <v>-3.8880248833583764E-4</v>
      </c>
      <c r="F31">
        <f>(Prices!F31/Prices!F32)-1</f>
        <v>-1.6162704559230523E-3</v>
      </c>
      <c r="G31">
        <f>(Prices!G31/Prices!G32)-1</f>
        <v>6.9067142781129576E-3</v>
      </c>
    </row>
    <row r="32" spans="1:7" x14ac:dyDescent="0.3">
      <c r="A32" s="1">
        <v>45986</v>
      </c>
      <c r="B32">
        <f>(Prices!B32/Prices!B33)-1</f>
        <v>-2.4025427690006484E-2</v>
      </c>
      <c r="C32">
        <f>(Prices!C32/Prices!C33)-1</f>
        <v>1.5882174309140407E-2</v>
      </c>
      <c r="D32">
        <f>(Prices!D32/Prices!D33)-1</f>
        <v>-1.258946279210138E-2</v>
      </c>
      <c r="E32">
        <f>(Prices!E32/Prices!E33)-1</f>
        <v>1.9825535289452745E-2</v>
      </c>
      <c r="F32">
        <f>(Prices!F32/Prices!F33)-1</f>
        <v>1.0273506599537408E-2</v>
      </c>
      <c r="G32">
        <f>(Prices!G32/Prices!G33)-1</f>
        <v>9.0617319302264132E-3</v>
      </c>
    </row>
    <row r="33" spans="1:7" x14ac:dyDescent="0.3">
      <c r="A33" s="1">
        <v>45985</v>
      </c>
      <c r="B33">
        <f>(Prices!B33/Prices!B34)-1</f>
        <v>2.5500910746812266E-2</v>
      </c>
      <c r="C33">
        <f>(Prices!C33/Prices!C34)-1</f>
        <v>4.0246356485151846E-3</v>
      </c>
      <c r="D33">
        <f>(Prices!D33/Prices!D34)-1</f>
        <v>-9.4806969593440593E-3</v>
      </c>
      <c r="E33">
        <f>(Prices!E33/Prices!E34)-1</f>
        <v>7.1884984025558651E-3</v>
      </c>
      <c r="F33">
        <f>(Prices!F33/Prices!F34)-1</f>
        <v>-2.6106546514709783E-2</v>
      </c>
      <c r="G33">
        <f>(Prices!G33/Prices!G34)-1</f>
        <v>1.5467235297948356E-2</v>
      </c>
    </row>
    <row r="34" spans="1:7" x14ac:dyDescent="0.3">
      <c r="A34" s="1">
        <v>45982</v>
      </c>
      <c r="B34">
        <f>(Prices!B34/Prices!B35)-1</f>
        <v>-1.2870256458786811E-2</v>
      </c>
      <c r="C34">
        <f>(Prices!C34/Prices!C35)-1</f>
        <v>1.3003057726163725E-2</v>
      </c>
      <c r="D34">
        <f>(Prices!D34/Prices!D35)-1</f>
        <v>5.1273286617670166E-4</v>
      </c>
      <c r="E34">
        <f>(Prices!E34/Prices!E35)-1</f>
        <v>2.6229508196721429E-2</v>
      </c>
      <c r="F34">
        <f>(Prices!F34/Prices!F35)-1</f>
        <v>1.8422295701464364E-2</v>
      </c>
      <c r="G34">
        <f>(Prices!G34/Prices!G35)-1</f>
        <v>9.8229633753188494E-3</v>
      </c>
    </row>
    <row r="35" spans="1:7" x14ac:dyDescent="0.3">
      <c r="A35" s="1">
        <v>45981</v>
      </c>
      <c r="B35">
        <f>(Prices!B35/Prices!B36)-1</f>
        <v>-3.9363636363636378E-2</v>
      </c>
      <c r="C35">
        <f>(Prices!C35/Prices!C36)-1</f>
        <v>-1.0798469702579805E-3</v>
      </c>
      <c r="D35">
        <f>(Prices!D35/Prices!D36)-1</f>
        <v>-2.8121005538985777E-3</v>
      </c>
      <c r="E35">
        <f>(Prices!E35/Prices!E36)-1</f>
        <v>-1.9292604501607746E-2</v>
      </c>
      <c r="F35">
        <f>(Prices!F35/Prices!F36)-1</f>
        <v>8.16382066807253E-3</v>
      </c>
      <c r="G35">
        <f>(Prices!G35/Prices!G36)-1</f>
        <v>-1.5567225119539341E-2</v>
      </c>
    </row>
    <row r="36" spans="1:7" x14ac:dyDescent="0.3">
      <c r="A36" s="1">
        <v>45980</v>
      </c>
      <c r="B36">
        <f>(Prices!B36/Prices!B37)-1</f>
        <v>-3.5848891226224922E-2</v>
      </c>
      <c r="C36">
        <f>(Prices!C36/Prices!C37)-1</f>
        <v>9.1537455632355602E-3</v>
      </c>
      <c r="D36">
        <f>(Prices!D36/Prices!D37)-1</f>
        <v>-1.4114088885155085E-2</v>
      </c>
      <c r="E36">
        <f>(Prices!E36/Prices!E37)-1</f>
        <v>-2.2396856581532454E-2</v>
      </c>
      <c r="F36">
        <f>(Prices!F36/Prices!F37)-1</f>
        <v>0</v>
      </c>
      <c r="G36">
        <f>(Prices!G36/Prices!G37)-1</f>
        <v>3.7537855204221593E-3</v>
      </c>
    </row>
    <row r="37" spans="1:7" x14ac:dyDescent="0.3">
      <c r="A37" s="1">
        <v>45979</v>
      </c>
      <c r="B37">
        <f>(Prices!B37/Prices!B38)-1</f>
        <v>3.4454619639133099E-2</v>
      </c>
      <c r="C37">
        <f>(Prices!C37/Prices!C38)-1</f>
        <v>-1.4029163468917916E-2</v>
      </c>
      <c r="D37">
        <f>(Prices!D37/Prices!D38)-1</f>
        <v>1.1471787899388186E-2</v>
      </c>
      <c r="E37">
        <f>(Prices!E37/Prices!E38)-1</f>
        <v>1.4752791068580517E-2</v>
      </c>
      <c r="F37">
        <f>(Prices!F37/Prices!F38)-1</f>
        <v>8.0235907282952823E-3</v>
      </c>
      <c r="G37">
        <f>(Prices!G37/Prices!G38)-1</f>
        <v>-8.2563871224939911E-3</v>
      </c>
    </row>
    <row r="38" spans="1:7" x14ac:dyDescent="0.3">
      <c r="A38" s="1">
        <v>45978</v>
      </c>
      <c r="B38">
        <f>(Prices!B38/Prices!B39)-1</f>
        <v>-8.3618054306778822E-3</v>
      </c>
      <c r="C38">
        <f>(Prices!C38/Prices!C39)-1</f>
        <v>-1.2938609781225296E-2</v>
      </c>
      <c r="D38">
        <f>(Prices!D38/Prices!D39)-1</f>
        <v>-1.3496521083074864E-2</v>
      </c>
      <c r="E38">
        <f>(Prices!E38/Prices!E39)-1</f>
        <v>7.9808459696728562E-4</v>
      </c>
      <c r="F38">
        <f>(Prices!F38/Prices!F39)-1</f>
        <v>-1.252793390668383E-2</v>
      </c>
      <c r="G38">
        <f>(Prices!G38/Prices!G39)-1</f>
        <v>-9.1623094959838447E-3</v>
      </c>
    </row>
    <row r="39" spans="1:7" x14ac:dyDescent="0.3">
      <c r="A39" s="1">
        <v>45975</v>
      </c>
      <c r="B39">
        <f>(Prices!B39/Prices!B40)-1</f>
        <v>-3.6388840755501639E-2</v>
      </c>
      <c r="C39">
        <f>(Prices!C39/Prices!C40)-1</f>
        <v>-1.8031421090216604E-2</v>
      </c>
      <c r="D39">
        <f>(Prices!D39/Prices!D40)-1</f>
        <v>1.2992527173913082E-2</v>
      </c>
      <c r="E39">
        <f>(Prices!E39/Prices!E40)-1</f>
        <v>-2.8305544784800296E-2</v>
      </c>
      <c r="F39">
        <f>(Prices!F39/Prices!F40)-1</f>
        <v>-1.9599891862667196E-3</v>
      </c>
      <c r="G39">
        <f>(Prices!G39/Prices!G40)-1</f>
        <v>-5.016705034071034E-4</v>
      </c>
    </row>
    <row r="40" spans="1:7" x14ac:dyDescent="0.3">
      <c r="A40" s="1">
        <v>45974</v>
      </c>
      <c r="B40">
        <f>(Prices!B40/Prices!B41)-1</f>
        <v>-2.8509719222462593E-3</v>
      </c>
      <c r="C40">
        <f>(Prices!C40/Prices!C41)-1</f>
        <v>-8.2625118035882794E-3</v>
      </c>
      <c r="D40">
        <f>(Prices!D40/Prices!D41)-1</f>
        <v>5.6362083689156517E-3</v>
      </c>
      <c r="E40">
        <f>(Prices!E40/Prices!E41)-1</f>
        <v>-3.0923850019327626E-3</v>
      </c>
      <c r="F40">
        <f>(Prices!F40/Prices!F41)-1</f>
        <v>-3.3781501249907642E-4</v>
      </c>
      <c r="G40">
        <f>(Prices!G40/Prices!G41)-1</f>
        <v>-1.6556900387101336E-2</v>
      </c>
    </row>
    <row r="41" spans="1:7" x14ac:dyDescent="0.3">
      <c r="A41" s="1">
        <v>45973</v>
      </c>
      <c r="B41">
        <f>(Prices!B41/Prices!B42)-1</f>
        <v>1.8567405843012974E-2</v>
      </c>
      <c r="C41">
        <f>(Prices!C41/Prices!C42)-1</f>
        <v>1.8625277161863352E-3</v>
      </c>
      <c r="D41">
        <f>(Prices!D41/Prices!D42)-1</f>
        <v>-1.3811689405423655E-2</v>
      </c>
      <c r="E41">
        <f>(Prices!E41/Prices!E42)-1</f>
        <v>1.4112112896903062E-2</v>
      </c>
      <c r="F41">
        <f>(Prices!F41/Prices!F42)-1</f>
        <v>-3.5680624747542744E-3</v>
      </c>
      <c r="G41">
        <f>(Prices!G41/Prices!G42)-1</f>
        <v>6.2950861813360071E-4</v>
      </c>
    </row>
    <row r="42" spans="1:7" x14ac:dyDescent="0.3">
      <c r="A42" s="1">
        <v>45972</v>
      </c>
      <c r="B42">
        <f>(Prices!B42/Prices!B43)-1</f>
        <v>1.4552272118560694E-2</v>
      </c>
      <c r="C42">
        <f>(Prices!C42/Prices!C43)-1</f>
        <v>1.2148777641461495E-2</v>
      </c>
      <c r="D42">
        <f>(Prices!D42/Prices!D43)-1</f>
        <v>1.3226384503797206E-2</v>
      </c>
      <c r="E42">
        <f>(Prices!E42/Prices!E43)-1</f>
        <v>4.592045920459209E-2</v>
      </c>
      <c r="F42">
        <f>(Prices!F42/Prices!F43)-1</f>
        <v>2.0893470790377844E-2</v>
      </c>
      <c r="G42">
        <f>(Prices!G42/Prices!G43)-1</f>
        <v>2.0753963084874094E-3</v>
      </c>
    </row>
    <row r="43" spans="1:7" x14ac:dyDescent="0.3">
      <c r="A43" s="1">
        <v>45971</v>
      </c>
      <c r="B43">
        <f>(Prices!B43/Prices!B44)-1</f>
        <v>1.485911026547071E-2</v>
      </c>
      <c r="C43">
        <f>(Prices!C43/Prices!C44)-1</f>
        <v>-3.488788167938961E-3</v>
      </c>
      <c r="D43">
        <f>(Prices!D43/Prices!D44)-1</f>
        <v>8.5197934595524494E-3</v>
      </c>
      <c r="E43">
        <f>(Prices!E43/Prices!E44)-1</f>
        <v>-1.6373311502251298E-3</v>
      </c>
      <c r="F43">
        <f>(Prices!F43/Prices!F44)-1</f>
        <v>-1.0069397196897478E-2</v>
      </c>
      <c r="G43">
        <f>(Prices!G43/Prices!G44)-1</f>
        <v>1.5400963024610581E-2</v>
      </c>
    </row>
    <row r="44" spans="1:7" x14ac:dyDescent="0.3">
      <c r="A44" s="1">
        <v>45968</v>
      </c>
      <c r="B44">
        <f>(Prices!B44/Prices!B45)-1</f>
        <v>6.107566089334604E-3</v>
      </c>
      <c r="C44">
        <f>(Prices!C44/Prices!C45)-1</f>
        <v>-2.7654702786286123E-3</v>
      </c>
      <c r="D44">
        <f>(Prices!D44/Prices!D45)-1</f>
        <v>2.3698352568055636E-2</v>
      </c>
      <c r="E44">
        <f>(Prices!E44/Prices!E45)-1</f>
        <v>4.0950040950038513E-4</v>
      </c>
      <c r="F44">
        <f>(Prices!F44/Prices!F45)-1</f>
        <v>5.816738520495468E-3</v>
      </c>
      <c r="G44">
        <f>(Prices!G44/Prices!G45)-1</f>
        <v>1.2618446740633171E-3</v>
      </c>
    </row>
    <row r="45" spans="1:7" x14ac:dyDescent="0.3">
      <c r="A45" s="1">
        <v>45967</v>
      </c>
      <c r="B45">
        <f>(Prices!B45/Prices!B46)-1</f>
        <v>-1.3654984069184639E-3</v>
      </c>
      <c r="C45">
        <f>(Prices!C45/Prices!C46)-1</f>
        <v>-9.075640156760989E-3</v>
      </c>
      <c r="D45">
        <f>(Prices!D45/Prices!D46)-1</f>
        <v>7.2765995208092793E-3</v>
      </c>
      <c r="E45">
        <f>(Prices!E45/Prices!E46)-1</f>
        <v>9.9255583126551805E-3</v>
      </c>
      <c r="F45">
        <f>(Prices!F45/Prices!F46)-1</f>
        <v>2.3321215446876487E-3</v>
      </c>
      <c r="G45">
        <f>(Prices!G45/Prices!G46)-1</f>
        <v>-1.1178157494750818E-2</v>
      </c>
    </row>
    <row r="46" spans="1:7" x14ac:dyDescent="0.3">
      <c r="A46" s="1">
        <v>45966</v>
      </c>
      <c r="B46">
        <f>(Prices!B46/Prices!B47)-1</f>
        <v>5.032021957914079E-3</v>
      </c>
      <c r="C46">
        <f>(Prices!C46/Prices!C47)-1</f>
        <v>-7.6553896887787687E-4</v>
      </c>
      <c r="D46">
        <f>(Prices!D46/Prices!D47)-1</f>
        <v>-4.0653999116218031E-3</v>
      </c>
      <c r="E46">
        <f>(Prices!E46/Prices!E47)-1</f>
        <v>1.2562814070351758E-2</v>
      </c>
      <c r="F46">
        <f>(Prices!F46/Prices!F47)-1</f>
        <v>-9.3769110552421875E-3</v>
      </c>
      <c r="G46">
        <f>(Prices!G46/Prices!G47)-1</f>
        <v>3.6535209811638936E-3</v>
      </c>
    </row>
    <row r="47" spans="1:7" x14ac:dyDescent="0.3">
      <c r="A47" s="1">
        <v>45965</v>
      </c>
      <c r="B47">
        <f>(Prices!B47/Prices!B48)-1</f>
        <v>-6.4539587310245006E-3</v>
      </c>
      <c r="C47">
        <f>(Prices!C47/Prices!C48)-1</f>
        <v>1.0112125628290114E-2</v>
      </c>
      <c r="D47">
        <f>(Prices!D47/Prices!D48)-1</f>
        <v>3.3696905205284899E-3</v>
      </c>
      <c r="E47">
        <f>(Prices!E47/Prices!E48)-1</f>
        <v>-1.4444903012794108E-2</v>
      </c>
      <c r="F47">
        <f>(Prices!F47/Prices!F48)-1</f>
        <v>-5.7424672341577221E-3</v>
      </c>
      <c r="G47">
        <f>(Prices!G47/Prices!G48)-1</f>
        <v>-1.1736770592982726E-2</v>
      </c>
    </row>
    <row r="48" spans="1:7" x14ac:dyDescent="0.3">
      <c r="A48" s="1">
        <v>45964</v>
      </c>
      <c r="B48">
        <f>(Prices!B48/Prices!B49)-1</f>
        <v>-1.6802216462597164E-2</v>
      </c>
      <c r="C48">
        <f>(Prices!C48/Prices!C49)-1</f>
        <v>-1.1291792866174544E-2</v>
      </c>
      <c r="D48">
        <f>(Prices!D48/Prices!D49)-1</f>
        <v>-5.2924053982535968E-3</v>
      </c>
      <c r="E48">
        <f>(Prices!E48/Prices!E49)-1</f>
        <v>4.1288191577204536E-4</v>
      </c>
      <c r="F48">
        <f>(Prices!F48/Prices!F49)-1</f>
        <v>-1.5628117310633738E-2</v>
      </c>
      <c r="G48">
        <f>(Prices!G48/Prices!G49)-1</f>
        <v>1.7207099207625642E-3</v>
      </c>
    </row>
    <row r="49" spans="1:7" x14ac:dyDescent="0.3">
      <c r="A49" s="1">
        <v>45961</v>
      </c>
      <c r="B49">
        <f>(Prices!B49/Prices!B50)-1</f>
        <v>2.7456382001836532E-2</v>
      </c>
      <c r="C49">
        <f>(Prices!C49/Prices!C50)-1</f>
        <v>-1.2429214462030047E-2</v>
      </c>
      <c r="D49">
        <f>(Prices!D49/Prices!D50)-1</f>
        <v>-2.9023746701847264E-3</v>
      </c>
      <c r="E49">
        <f>(Prices!E49/Prices!E50)-1</f>
        <v>1.4662756598240456E-2</v>
      </c>
      <c r="F49">
        <f>(Prices!F49/Prices!F50)-1</f>
        <v>5.2814547399384626E-3</v>
      </c>
      <c r="G49">
        <f>(Prices!G49/Prices!G50)-1</f>
        <v>2.6178701149457417E-3</v>
      </c>
    </row>
    <row r="50" spans="1:7" x14ac:dyDescent="0.3">
      <c r="A50" s="1">
        <v>45960</v>
      </c>
      <c r="B50">
        <f>(Prices!B50/Prices!B51)-1</f>
        <v>-1.035986913849507E-2</v>
      </c>
      <c r="C50">
        <f>(Prices!C50/Prices!C51)-1</f>
        <v>1.0980300049910463E-2</v>
      </c>
      <c r="D50">
        <f>(Prices!D50/Prices!D51)-1</f>
        <v>-1.5072765072765004E-2</v>
      </c>
      <c r="E50">
        <f>(Prices!E50/Prices!E51)-1</f>
        <v>0</v>
      </c>
      <c r="F50">
        <f>(Prices!F50/Prices!F51)-1</f>
        <v>5.4446460980035472E-3</v>
      </c>
      <c r="G50">
        <f>(Prices!G50/Prices!G51)-1</f>
        <v>-9.9048122149192341E-3</v>
      </c>
    </row>
    <row r="51" spans="1:7" x14ac:dyDescent="0.3">
      <c r="A51" s="1">
        <v>45959</v>
      </c>
      <c r="B51">
        <f>(Prices!B51/Prices!B52)-1</f>
        <v>-1.9047619047618536E-3</v>
      </c>
      <c r="C51">
        <f>(Prices!C51/Prices!C52)-1</f>
        <v>-1.6175153808382081E-2</v>
      </c>
      <c r="D51">
        <f>(Prices!D51/Prices!D52)-1</f>
        <v>1.2365167061299642E-2</v>
      </c>
      <c r="E51">
        <f>(Prices!E51/Prices!E52)-1</f>
        <v>-8.720930232558044E-3</v>
      </c>
      <c r="F51">
        <f>(Prices!F51/Prices!F52)-1</f>
        <v>-1.717645504393206E-2</v>
      </c>
      <c r="G51">
        <f>(Prices!G51/Prices!G52)-1</f>
        <v>-4.3535740666289513E-5</v>
      </c>
    </row>
    <row r="52" spans="1:7" x14ac:dyDescent="0.3">
      <c r="A52" s="1">
        <v>45958</v>
      </c>
      <c r="B52">
        <f>(Prices!B52/Prices!B53)-1</f>
        <v>7.217248309884905E-3</v>
      </c>
      <c r="C52">
        <f>(Prices!C52/Prices!C53)-1</f>
        <v>-2.6503039207214085E-3</v>
      </c>
      <c r="D52">
        <f>(Prices!D52/Prices!D53)-1</f>
        <v>-7.8308535630384757E-3</v>
      </c>
      <c r="E52">
        <f>(Prices!E52/Prices!E53)-1</f>
        <v>-1.0682004930156141E-2</v>
      </c>
      <c r="F52">
        <f>(Prices!F52/Prices!F53)-1</f>
        <v>-2.4383814419401961E-3</v>
      </c>
      <c r="G52">
        <f>(Prices!G52/Prices!G53)-1</f>
        <v>2.2879467532392894E-3</v>
      </c>
    </row>
    <row r="53" spans="1:7" x14ac:dyDescent="0.3">
      <c r="A53" s="1">
        <v>45957</v>
      </c>
      <c r="B53">
        <f>(Prices!B53/Prices!B54)-1</f>
        <v>-9.1349228099057989E-5</v>
      </c>
      <c r="C53">
        <f>(Prices!C53/Prices!C54)-1</f>
        <v>1.2691453459863222E-3</v>
      </c>
      <c r="D53">
        <f>(Prices!D53/Prices!D54)-1</f>
        <v>4.7206923682141522E-3</v>
      </c>
      <c r="E53">
        <f>(Prices!E53/Prices!E54)-1</f>
        <v>4.1101520756270382E-4</v>
      </c>
      <c r="F53">
        <f>(Prices!F53/Prices!F54)-1</f>
        <v>-4.9183553019870319E-3</v>
      </c>
      <c r="G53">
        <f>(Prices!G53/Prices!G54)-1</f>
        <v>1.2290019126314666E-2</v>
      </c>
    </row>
    <row r="54" spans="1:7" x14ac:dyDescent="0.3">
      <c r="A54" s="1">
        <v>45954</v>
      </c>
      <c r="B54">
        <f>(Prices!B54/Prices!B55)-1</f>
        <v>-1.6971982758620663E-2</v>
      </c>
      <c r="C54">
        <f>(Prices!C54/Prices!C55)-1</f>
        <v>4.0836422613532708E-3</v>
      </c>
      <c r="D54">
        <f>(Prices!D54/Prices!D55)-1</f>
        <v>-5.0447942941637125E-3</v>
      </c>
      <c r="E54">
        <f>(Prices!E54/Prices!E55)-1</f>
        <v>3.7128712871286051E-3</v>
      </c>
      <c r="F54">
        <f>(Prices!F54/Prices!F55)-1</f>
        <v>8.8653655309296475E-3</v>
      </c>
      <c r="G54">
        <f>(Prices!G54/Prices!G55)-1</f>
        <v>7.9024225191588471E-3</v>
      </c>
    </row>
    <row r="55" spans="1:7" x14ac:dyDescent="0.3">
      <c r="A55" s="1">
        <v>45953</v>
      </c>
      <c r="B55">
        <f>(Prices!B55/Prices!B56)-1</f>
        <v>-2.5080616266571765E-3</v>
      </c>
      <c r="C55">
        <f>(Prices!C55/Prices!C56)-1</f>
        <v>1.7407450388764456E-3</v>
      </c>
      <c r="D55">
        <f>(Prices!D55/Prices!D56)-1</f>
        <v>1.0991909954273682E-2</v>
      </c>
      <c r="E55">
        <f>(Prices!E55/Prices!E56)-1</f>
        <v>-2.0584602717167444E-3</v>
      </c>
      <c r="F55">
        <f>(Prices!F55/Prices!F56)-1</f>
        <v>6.6163821622389207E-5</v>
      </c>
      <c r="G55">
        <f>(Prices!G55/Prices!G56)-1</f>
        <v>5.8273875272412123E-3</v>
      </c>
    </row>
    <row r="56" spans="1:7" x14ac:dyDescent="0.3">
      <c r="A56" s="1">
        <v>45952</v>
      </c>
      <c r="B56">
        <f>(Prices!B56/Prices!B57)-1</f>
        <v>-0.10069276623167389</v>
      </c>
      <c r="C56">
        <f>(Prices!C56/Prices!C57)-1</f>
        <v>-5.3099388202700881E-3</v>
      </c>
      <c r="D56">
        <f>(Prices!D56/Prices!D57)-1</f>
        <v>1.7810793878098918E-2</v>
      </c>
      <c r="E56">
        <f>(Prices!E56/Prices!E57)-1</f>
        <v>-5.3235053235054508E-3</v>
      </c>
      <c r="F56">
        <f>(Prices!F56/Prices!F57)-1</f>
        <v>3.7856146642756272E-3</v>
      </c>
      <c r="G56">
        <f>(Prices!G56/Prices!G57)-1</f>
        <v>-5.3375103001329638E-3</v>
      </c>
    </row>
    <row r="57" spans="1:7" x14ac:dyDescent="0.3">
      <c r="A57" s="1">
        <v>45951</v>
      </c>
      <c r="B57">
        <f>(Prices!B57/Prices!B58)-1</f>
        <v>2.2606168254482029E-3</v>
      </c>
      <c r="C57">
        <f>(Prices!C57/Prices!C58)-1</f>
        <v>8.1168358886334335E-3</v>
      </c>
      <c r="D57">
        <f>(Prices!D57/Prices!D58)-1</f>
        <v>8.9509488005790061E-5</v>
      </c>
      <c r="E57">
        <f>(Prices!E57/Prices!E58)-1</f>
        <v>6.5952184666118185E-3</v>
      </c>
      <c r="F57">
        <f>(Prices!F57/Prices!F58)-1</f>
        <v>-2.1868787276342339E-3</v>
      </c>
      <c r="G57">
        <f>(Prices!G57/Prices!G58)-1</f>
        <v>3.2664551389505192E-5</v>
      </c>
    </row>
    <row r="58" spans="1:7" x14ac:dyDescent="0.3">
      <c r="A58" s="1">
        <v>45950</v>
      </c>
      <c r="B58">
        <f>(Prices!B58/Prices!B59)-1</f>
        <v>3.2683008170752093E-2</v>
      </c>
      <c r="C58">
        <f>(Prices!C58/Prices!C59)-1</f>
        <v>7.3854810820317418E-3</v>
      </c>
      <c r="D58">
        <f>(Prices!D58/Prices!D59)-1</f>
        <v>4.0442167700189824E-3</v>
      </c>
      <c r="E58">
        <f>(Prices!E58/Prices!E59)-1</f>
        <v>7.0568700705688769E-3</v>
      </c>
      <c r="F58">
        <f>(Prices!F58/Prices!F59)-1</f>
        <v>3.6581310276022627E-3</v>
      </c>
      <c r="G58">
        <f>(Prices!G58/Prices!G59)-1</f>
        <v>1.0672252892777845E-2</v>
      </c>
    </row>
    <row r="59" spans="1:7" x14ac:dyDescent="0.3">
      <c r="A59" s="1">
        <v>45947</v>
      </c>
      <c r="B59">
        <f>(Prices!B59/Prices!B60)-1</f>
        <v>1.334910442717141E-2</v>
      </c>
      <c r="C59">
        <f>(Prices!C59/Prices!C60)-1</f>
        <v>1.9328434008484052E-2</v>
      </c>
      <c r="D59">
        <f>(Prices!D59/Prices!D60)-1</f>
        <v>1.4496717724288732E-2</v>
      </c>
      <c r="E59">
        <f>(Prices!E59/Prices!E60)-1</f>
        <v>1.1759764804703865E-2</v>
      </c>
      <c r="F59">
        <f>(Prices!F59/Prices!F60)-1</f>
        <v>1.2049003769520672E-2</v>
      </c>
      <c r="G59">
        <f>(Prices!G59/Prices!G60)-1</f>
        <v>5.270724249404557E-3</v>
      </c>
    </row>
    <row r="60" spans="1:7" x14ac:dyDescent="0.3">
      <c r="A60" s="1">
        <v>45946</v>
      </c>
      <c r="B60">
        <f>(Prices!B60/Prices!B61)-1</f>
        <v>-1.6371644643895955E-2</v>
      </c>
      <c r="C60">
        <f>(Prices!C60/Prices!C61)-1</f>
        <v>-2.9767253123097803E-2</v>
      </c>
      <c r="D60">
        <f>(Prices!D60/Prices!D61)-1</f>
        <v>-8.6767895878524515E-3</v>
      </c>
      <c r="E60">
        <f>(Prices!E60/Prices!E61)-1</f>
        <v>-6.6750104297037538E-3</v>
      </c>
      <c r="F60">
        <f>(Prices!F60/Prices!F61)-1</f>
        <v>1.4754098360655776E-2</v>
      </c>
      <c r="G60">
        <f>(Prices!G60/Prices!G61)-1</f>
        <v>-6.2943520220175575E-3</v>
      </c>
    </row>
    <row r="61" spans="1:7" x14ac:dyDescent="0.3">
      <c r="A61" s="1">
        <v>45945</v>
      </c>
      <c r="B61">
        <f>(Prices!B61/Prices!B62)-1</f>
        <v>-9.9555701826560261E-3</v>
      </c>
      <c r="C61">
        <f>(Prices!C61/Prices!C62)-1</f>
        <v>-7.7080157611665312E-3</v>
      </c>
      <c r="D61">
        <f>(Prices!D61/Prices!D62)-1</f>
        <v>-6.1085159899388897E-3</v>
      </c>
      <c r="E61">
        <f>(Prices!E61/Prices!E62)-1</f>
        <v>-5.3941908713693865E-3</v>
      </c>
      <c r="F61">
        <f>(Prices!F61/Prices!F62)-1</f>
        <v>-1.161220631920068E-2</v>
      </c>
      <c r="G61">
        <f>(Prices!G61/Prices!G62)-1</f>
        <v>4.0260011950075114E-3</v>
      </c>
    </row>
    <row r="62" spans="1:7" x14ac:dyDescent="0.3">
      <c r="A62" s="1">
        <v>45944</v>
      </c>
      <c r="B62">
        <f>(Prices!B62/Prices!B63)-1</f>
        <v>-2.9532403609515701E-3</v>
      </c>
      <c r="C62">
        <f>(Prices!C62/Prices!C63)-1</f>
        <v>1.4797735100110954E-2</v>
      </c>
      <c r="D62">
        <f>(Prices!D62/Prices!D63)-1</f>
        <v>4.4935741889085001E-4</v>
      </c>
      <c r="E62">
        <f>(Prices!E62/Prices!E63)-1</f>
        <v>-8.2304526748970819E-3</v>
      </c>
      <c r="F62">
        <f>(Prices!F62/Prices!F63)-1</f>
        <v>1.1265105482351379E-2</v>
      </c>
      <c r="G62">
        <f>(Prices!G62/Prices!G63)-1</f>
        <v>-1.5643032313906735E-3</v>
      </c>
    </row>
    <row r="63" spans="1:7" x14ac:dyDescent="0.3">
      <c r="A63" s="1">
        <v>45943</v>
      </c>
      <c r="B63">
        <f>(Prices!B63/Prices!B64)-1</f>
        <v>-9.0156544545527684E-4</v>
      </c>
      <c r="C63">
        <f>(Prices!C63/Prices!C64)-1</f>
        <v>-1.0204974195994199E-3</v>
      </c>
      <c r="D63">
        <f>(Prices!D63/Prices!D64)-1</f>
        <v>1.3664935774801767E-2</v>
      </c>
      <c r="E63">
        <f>(Prices!E63/Prices!E64)-1</f>
        <v>-2.0533880903490509E-3</v>
      </c>
      <c r="F63">
        <f>(Prices!F63/Prices!F64)-1</f>
        <v>-1.4665321224352601E-2</v>
      </c>
      <c r="G63">
        <f>(Prices!G63/Prices!G64)-1</f>
        <v>1.5598602672868944E-2</v>
      </c>
    </row>
    <row r="64" spans="1:7" x14ac:dyDescent="0.3">
      <c r="A64" s="1">
        <v>45940</v>
      </c>
      <c r="B64">
        <f>(Prices!B64/Prices!B65)-1</f>
        <v>-8.9350986922264175E-3</v>
      </c>
      <c r="C64">
        <f>(Prices!C64/Prices!C65)-1</f>
        <v>-9.7589143929550648E-3</v>
      </c>
      <c r="D64">
        <f>(Prices!D64/Prices!D65)-1</f>
        <v>-1.9297775395336503E-2</v>
      </c>
      <c r="E64">
        <f>(Prices!E64/Prices!E65)-1</f>
        <v>-1.8145161290322509E-2</v>
      </c>
      <c r="F64">
        <f>(Prices!F64/Prices!F65)-1</f>
        <v>-5.8851066675583708E-3</v>
      </c>
      <c r="G64">
        <f>(Prices!G64/Prices!G65)-1</f>
        <v>-2.7111658161485086E-2</v>
      </c>
    </row>
    <row r="65" spans="1:7" x14ac:dyDescent="0.3">
      <c r="A65" s="1">
        <v>45939</v>
      </c>
      <c r="B65">
        <f>(Prices!B65/Prices!B66)-1</f>
        <v>1.3835131351395802E-2</v>
      </c>
      <c r="C65">
        <f>(Prices!C65/Prices!C66)-1</f>
        <v>-1.2319274531610858E-2</v>
      </c>
      <c r="D65">
        <f>(Prices!D65/Prices!D66)-1</f>
        <v>-9.7319295762186009E-3</v>
      </c>
      <c r="E65">
        <f>(Prices!E65/Prices!E66)-1</f>
        <v>-1.7432646592709933E-2</v>
      </c>
      <c r="F65">
        <f>(Prices!F65/Prices!F66)-1</f>
        <v>-7.3509756749523536E-4</v>
      </c>
      <c r="G65">
        <f>(Prices!G65/Prices!G66)-1</f>
        <v>-2.755518440207827E-3</v>
      </c>
    </row>
    <row r="66" spans="1:7" x14ac:dyDescent="0.3">
      <c r="A66" s="1">
        <v>45938</v>
      </c>
      <c r="B66">
        <f>(Prices!B66/Prices!B67)-1</f>
        <v>1.9477793636134777E-2</v>
      </c>
      <c r="C66">
        <f>(Prices!C66/Prices!C67)-1</f>
        <v>-2.9853292391675001E-3</v>
      </c>
      <c r="D66">
        <f>(Prices!D66/Prices!D67)-1</f>
        <v>-2.1188311115034608E-3</v>
      </c>
      <c r="E66">
        <f>(Prices!E66/Prices!E67)-1</f>
        <v>-2.2463206816421444E-2</v>
      </c>
      <c r="F66">
        <f>(Prices!F66/Prices!F67)-1</f>
        <v>-1.214681806179041E-2</v>
      </c>
      <c r="G66">
        <f>(Prices!G66/Prices!G67)-1</f>
        <v>5.8276082381798489E-3</v>
      </c>
    </row>
    <row r="67" spans="1:7" x14ac:dyDescent="0.3">
      <c r="A67" s="1">
        <v>45937</v>
      </c>
      <c r="B67">
        <f>(Prices!B67/Prices!B68)-1</f>
        <v>2.3897532880598371E-2</v>
      </c>
      <c r="C67">
        <f>(Prices!C67/Prices!C68)-1</f>
        <v>8.9790298057892404E-3</v>
      </c>
      <c r="D67">
        <f>(Prices!D67/Prices!D68)-1</f>
        <v>5.2998851691543614E-4</v>
      </c>
      <c r="E67">
        <f>(Prices!E67/Prices!E68)-1</f>
        <v>-5.7758952637658734E-3</v>
      </c>
      <c r="F67">
        <f>(Prices!F67/Prices!F68)-1</f>
        <v>1.4125995849233242E-2</v>
      </c>
      <c r="G67">
        <f>(Prices!G67/Prices!G68)-1</f>
        <v>-3.8114143626080121E-3</v>
      </c>
    </row>
    <row r="68" spans="1:7" x14ac:dyDescent="0.3">
      <c r="A68" s="1">
        <v>45936</v>
      </c>
      <c r="B68">
        <f>(Prices!B68/Prices!B69)-1</f>
        <v>8.6707708315270082E-3</v>
      </c>
      <c r="C68">
        <f>(Prices!C68/Prices!C69)-1</f>
        <v>-1.6038951739939522E-3</v>
      </c>
      <c r="D68">
        <f>(Prices!D68/Prices!D69)-1</f>
        <v>8.2828642679015907E-3</v>
      </c>
      <c r="E68">
        <f>(Prices!E68/Prices!E69)-1</f>
        <v>-3.4572490706319736E-2</v>
      </c>
      <c r="F68">
        <f>(Prices!F68/Prices!F69)-1</f>
        <v>-1.2168507373851001E-2</v>
      </c>
      <c r="G68">
        <f>(Prices!G68/Prices!G69)-1</f>
        <v>3.6466298082578064E-3</v>
      </c>
    </row>
    <row r="69" spans="1:7" x14ac:dyDescent="0.3">
      <c r="A69" s="1">
        <v>45933</v>
      </c>
      <c r="B69">
        <f>(Prices!B69/Prices!B70)-1</f>
        <v>-7.9139784946237191E-3</v>
      </c>
      <c r="C69">
        <f>(Prices!C69/Prices!C70)-1</f>
        <v>1.1237582182060502E-2</v>
      </c>
      <c r="D69">
        <f>(Prices!D69/Prices!D70)-1</f>
        <v>1.7674249977340795E-2</v>
      </c>
      <c r="E69">
        <f>(Prices!E69/Prices!E70)-1</f>
        <v>1.0898158586997386E-2</v>
      </c>
      <c r="F69">
        <f>(Prices!F69/Prices!F70)-1</f>
        <v>1.4570501357704657E-3</v>
      </c>
      <c r="G69">
        <f>(Prices!G69/Prices!G70)-1</f>
        <v>6.552152903416264E-5</v>
      </c>
    </row>
    <row r="70" spans="1:7" x14ac:dyDescent="0.3">
      <c r="A70" s="1">
        <v>45932</v>
      </c>
      <c r="B70">
        <f>(Prices!B70/Prices!B71)-1</f>
        <v>-7.1739687419933862E-3</v>
      </c>
      <c r="C70">
        <f>(Prices!C70/Prices!C71)-1</f>
        <v>-5.3868756121450145E-3</v>
      </c>
      <c r="D70">
        <f>(Prices!D70/Prices!D71)-1</f>
        <v>-6.2150963790308378E-3</v>
      </c>
      <c r="E70">
        <f>(Prices!E70/Prices!E71)-1</f>
        <v>-4.8616305160807949E-3</v>
      </c>
      <c r="F70">
        <f>(Prices!F70/Prices!F71)-1</f>
        <v>-7.4283460425978998E-3</v>
      </c>
      <c r="G70">
        <f>(Prices!G70/Prices!G71)-1</f>
        <v>6.1836929312208966E-4</v>
      </c>
    </row>
    <row r="71" spans="1:7" x14ac:dyDescent="0.3">
      <c r="A71" s="1">
        <v>45931</v>
      </c>
      <c r="B71">
        <f>(Prices!B71/Prices!B72)-1</f>
        <v>-2.3354741846692728E-2</v>
      </c>
      <c r="C71">
        <f>(Prices!C71/Prices!C72)-1</f>
        <v>1.8872354788529888E-2</v>
      </c>
      <c r="D71">
        <f>(Prices!D71/Prices!D72)-1</f>
        <v>-6.7102084638096526E-3</v>
      </c>
      <c r="E71">
        <f>(Prices!E71/Prices!E72)-1</f>
        <v>6.7891373801916899E-2</v>
      </c>
      <c r="F71">
        <f>(Prices!F71/Prices!F72)-1</f>
        <v>-3.0148119019530739E-3</v>
      </c>
      <c r="G71">
        <f>(Prices!G71/Prices!G72)-1</f>
        <v>3.3998857734067744E-3</v>
      </c>
    </row>
    <row r="72" spans="1:7" x14ac:dyDescent="0.3">
      <c r="A72" s="1">
        <v>45930</v>
      </c>
      <c r="B72">
        <f>(Prices!B72/Prices!B73)-1</f>
        <v>-6.2168435013262302E-3</v>
      </c>
      <c r="C72">
        <f>(Prices!C72/Prices!C73)-1</f>
        <v>3.5936257327167098E-3</v>
      </c>
      <c r="D72">
        <f>(Prices!D72/Prices!D73)-1</f>
        <v>-1.2894109334981918E-2</v>
      </c>
      <c r="E72">
        <f>(Prices!E72/Prices!E73)-1</f>
        <v>6.8259385665528916E-2</v>
      </c>
      <c r="F72">
        <f>(Prices!F72/Prices!F73)-1</f>
        <v>7.8709169618274011E-4</v>
      </c>
      <c r="G72">
        <f>(Prices!G72/Prices!G73)-1</f>
        <v>4.0908483593822265E-3</v>
      </c>
    </row>
    <row r="73" spans="1:7" x14ac:dyDescent="0.3">
      <c r="A73" s="1">
        <v>45929</v>
      </c>
      <c r="B73">
        <f>(Prices!B73/Prices!B74)-1</f>
        <v>-3.4693540393193611E-3</v>
      </c>
      <c r="C73">
        <f>(Prices!C73/Prices!C74)-1</f>
        <v>8.2863082863082749E-3</v>
      </c>
      <c r="D73">
        <f>(Prices!D73/Prices!D74)-1</f>
        <v>-2.5559380378657459E-2</v>
      </c>
      <c r="E73">
        <f>(Prices!E73/Prices!E74)-1</f>
        <v>3.8543897216274381E-3</v>
      </c>
      <c r="F73">
        <f>(Prices!F73/Prices!F74)-1</f>
        <v>6.7353407290016154E-3</v>
      </c>
      <c r="G73">
        <f>(Prices!G73/Prices!G74)-1</f>
        <v>2.6355795716241914E-3</v>
      </c>
    </row>
    <row r="74" spans="1:7" x14ac:dyDescent="0.3">
      <c r="A74" s="1">
        <v>45926</v>
      </c>
      <c r="B74">
        <f>(Prices!B74/Prices!B75)-1</f>
        <v>1.9864260883959428E-3</v>
      </c>
      <c r="C74">
        <f>(Prices!C74/Prices!C75)-1</f>
        <v>7.2695725012714707E-3</v>
      </c>
      <c r="D74">
        <f>(Prices!D74/Prices!D75)-1</f>
        <v>1.4050091631032435E-2</v>
      </c>
      <c r="E74">
        <f>(Prices!E74/Prices!E75)-1</f>
        <v>6.8995256576109831E-3</v>
      </c>
      <c r="F74">
        <f>(Prices!F74/Prices!F75)-1</f>
        <v>2.31650009927864E-3</v>
      </c>
      <c r="G74">
        <f>(Prices!G74/Prices!G75)-1</f>
        <v>5.9018398963164298E-3</v>
      </c>
    </row>
    <row r="75" spans="1:7" x14ac:dyDescent="0.3">
      <c r="A75" s="1">
        <v>45925</v>
      </c>
      <c r="B75">
        <f>(Prices!B75/Prices!B76)-1</f>
        <v>3.5717252263476329E-3</v>
      </c>
      <c r="C75">
        <f>(Prices!C75/Prices!C76)-1</f>
        <v>-1.1064761397591827E-2</v>
      </c>
      <c r="D75">
        <f>(Prices!D75/Prices!D76)-1</f>
        <v>8.9812450471076222E-3</v>
      </c>
      <c r="E75">
        <f>(Prices!E75/Prices!E76)-1</f>
        <v>-2.0278833967046883E-2</v>
      </c>
      <c r="F75">
        <f>(Prices!F75/Prices!F76)-1</f>
        <v>-1.78382663847787E-3</v>
      </c>
      <c r="G75">
        <f>(Prices!G75/Prices!G76)-1</f>
        <v>-5.0090615052493792E-3</v>
      </c>
    </row>
    <row r="76" spans="1:7" x14ac:dyDescent="0.3">
      <c r="A76" s="1">
        <v>45924</v>
      </c>
      <c r="B76">
        <f>(Prices!B76/Prices!B77)-1</f>
        <v>-1.1981945014361894E-2</v>
      </c>
      <c r="C76">
        <f>(Prices!C76/Prices!C77)-1</f>
        <v>-5.9166346182193408E-5</v>
      </c>
      <c r="D76">
        <f>(Prices!D76/Prices!D77)-1</f>
        <v>5.400141643059575E-3</v>
      </c>
      <c r="E76">
        <f>(Prices!E76/Prices!E77)-1</f>
        <v>-1.687051876845147E-3</v>
      </c>
      <c r="F76">
        <f>(Prices!F76/Prices!F77)-1</f>
        <v>-5.2826201796085659E-4</v>
      </c>
      <c r="G76">
        <f>(Prices!G76/Prices!G77)-1</f>
        <v>-2.8466618195801541E-3</v>
      </c>
    </row>
    <row r="77" spans="1:7" x14ac:dyDescent="0.3">
      <c r="A77" s="1">
        <v>45923</v>
      </c>
      <c r="B77">
        <f>(Prices!B77/Prices!B78)-1</f>
        <v>-7.2510998859377507E-3</v>
      </c>
      <c r="C77">
        <f>(Prices!C77/Prices!C78)-1</f>
        <v>-1.6439711359404141E-2</v>
      </c>
      <c r="D77">
        <f>(Prices!D77/Prices!D78)-1</f>
        <v>1.7199459702836428E-2</v>
      </c>
      <c r="E77">
        <f>(Prices!E77/Prices!E78)-1</f>
        <v>3.8103302286198737E-3</v>
      </c>
      <c r="F77">
        <f>(Prices!F77/Prices!F78)-1</f>
        <v>-3.7497533057034849E-3</v>
      </c>
      <c r="G77">
        <f>(Prices!G77/Prices!G78)-1</f>
        <v>-5.5021475256769037E-3</v>
      </c>
    </row>
    <row r="78" spans="1:7" x14ac:dyDescent="0.3">
      <c r="A78" s="1">
        <v>45922</v>
      </c>
      <c r="B78">
        <f>(Prices!B78/Prices!B79)-1</f>
        <v>3.2599837000812926E-4</v>
      </c>
      <c r="C78">
        <f>(Prices!C78/Prices!C79)-1</f>
        <v>8.0661719414543143E-3</v>
      </c>
      <c r="D78">
        <f>(Prices!D78/Prices!D79)-1</f>
        <v>-7.0636623748212557E-3</v>
      </c>
      <c r="E78">
        <f>(Prices!E78/Prices!E79)-1</f>
        <v>4.2354934349853046E-4</v>
      </c>
      <c r="F78">
        <f>(Prices!F78/Prices!F79)-1</f>
        <v>-1.9037170882808541E-2</v>
      </c>
      <c r="G78">
        <f>(Prices!G78/Prices!G79)-1</f>
        <v>4.4100258689507843E-3</v>
      </c>
    </row>
    <row r="79" spans="1:7" x14ac:dyDescent="0.3">
      <c r="A79" s="1">
        <v>45919</v>
      </c>
      <c r="B79">
        <f>(Prices!B79/Prices!B80)-1</f>
        <v>1.5896671634376469E-2</v>
      </c>
      <c r="C79">
        <f>(Prices!C79/Prices!C80)-1</f>
        <v>1.0133033095315769E-2</v>
      </c>
      <c r="D79">
        <f>(Prices!D79/Prices!D80)-1</f>
        <v>-9.7396847883831628E-3</v>
      </c>
      <c r="E79">
        <f>(Prices!E79/Prices!E80)-1</f>
        <v>-5.0568900126423122E-3</v>
      </c>
      <c r="F79">
        <f>(Prices!F79/Prices!F80)-1</f>
        <v>-8.1290405171861035E-3</v>
      </c>
      <c r="G79">
        <f>(Prices!G79/Prices!G80)-1</f>
        <v>4.8854335671504323E-3</v>
      </c>
    </row>
    <row r="80" spans="1:7" x14ac:dyDescent="0.3">
      <c r="A80" s="1">
        <v>45918</v>
      </c>
      <c r="B80">
        <f>(Prices!B80/Prices!B81)-1</f>
        <v>-1.684981684981679E-2</v>
      </c>
      <c r="C80">
        <f>(Prices!C80/Prices!C81)-1</f>
        <v>-2.3182449641120595E-2</v>
      </c>
      <c r="D80">
        <f>(Prices!D80/Prices!D81)-1</f>
        <v>-1.1812057047860813E-2</v>
      </c>
      <c r="E80">
        <f>(Prices!E80/Prices!E81)-1</f>
        <v>4.2319085907744913E-3</v>
      </c>
      <c r="F80">
        <f>(Prices!F80/Prices!F81)-1</f>
        <v>-1.8779047858309306E-2</v>
      </c>
      <c r="G80">
        <f>(Prices!G80/Prices!G81)-1</f>
        <v>4.7891399698500869E-3</v>
      </c>
    </row>
    <row r="81" spans="1:7" x14ac:dyDescent="0.3">
      <c r="A81" s="1">
        <v>45917</v>
      </c>
      <c r="B81">
        <f>(Prices!B81/Prices!B82)-1</f>
        <v>2.3323615160349753E-2</v>
      </c>
      <c r="C81">
        <f>(Prices!C81/Prices!C82)-1</f>
        <v>1.8151815181518094E-2</v>
      </c>
      <c r="D81">
        <f>(Prices!D81/Prices!D82)-1</f>
        <v>5.2775090157446414E-3</v>
      </c>
      <c r="E81">
        <f>(Prices!E81/Prices!E82)-1</f>
        <v>5.9599829714771513E-3</v>
      </c>
      <c r="F81">
        <f>(Prices!F81/Prices!F82)-1</f>
        <v>1.4463204842306565E-2</v>
      </c>
      <c r="G81">
        <f>(Prices!G81/Prices!G82)-1</f>
        <v>-9.7021838238409153E-4</v>
      </c>
    </row>
    <row r="82" spans="1:7" x14ac:dyDescent="0.3">
      <c r="A82" s="1">
        <v>45916</v>
      </c>
      <c r="B82">
        <f>(Prices!B82/Prices!B83)-1</f>
        <v>-1.497130499875321E-3</v>
      </c>
      <c r="C82">
        <f>(Prices!C82/Prices!C83)-1</f>
        <v>2.8961522548613949E-3</v>
      </c>
      <c r="D82">
        <f>(Prices!D82/Prices!D83)-1</f>
        <v>2.0739809660621278E-2</v>
      </c>
      <c r="E82">
        <f>(Prices!E82/Prices!E83)-1</f>
        <v>-2.9711375212224667E-3</v>
      </c>
      <c r="F82">
        <f>(Prices!F82/Prices!F83)-1</f>
        <v>7.7693591883907231E-3</v>
      </c>
      <c r="G82">
        <f>(Prices!G82/Prices!G83)-1</f>
        <v>-1.2879273439672101E-3</v>
      </c>
    </row>
    <row r="83" spans="1:7" x14ac:dyDescent="0.3">
      <c r="A83" s="1">
        <v>45915</v>
      </c>
      <c r="B83">
        <f>(Prices!B83/Prices!B84)-1</f>
        <v>1.169639851901727E-2</v>
      </c>
      <c r="C83">
        <f>(Prices!C83/Prices!C84)-1</f>
        <v>-1.1217381036722207E-3</v>
      </c>
      <c r="D83">
        <f>(Prices!D83/Prices!D84)-1</f>
        <v>1.7087867613994057E-3</v>
      </c>
      <c r="E83">
        <f>(Prices!E83/Prices!E84)-1</f>
        <v>4.2625745950553018E-3</v>
      </c>
      <c r="F83">
        <f>(Prices!F83/Prices!F84)-1</f>
        <v>-6.7602040816326925E-3</v>
      </c>
      <c r="G83">
        <f>(Prices!G83/Prices!G84)-1</f>
        <v>4.7066578173196039E-3</v>
      </c>
    </row>
    <row r="84" spans="1:7" x14ac:dyDescent="0.3">
      <c r="A84" s="1">
        <v>45912</v>
      </c>
      <c r="B84">
        <f>(Prices!B84/Prices!B85)-1</f>
        <v>-1.2546738678853253E-2</v>
      </c>
      <c r="C84">
        <f>(Prices!C84/Prices!C85)-1</f>
        <v>-1.1814124442110829E-2</v>
      </c>
      <c r="D84">
        <f>(Prices!D84/Prices!D85)-1</f>
        <v>1.7990465053507876E-4</v>
      </c>
      <c r="E84">
        <f>(Prices!E84/Prices!E85)-1</f>
        <v>-3.9705280392959397E-2</v>
      </c>
      <c r="F84">
        <f>(Prices!F84/Prices!F85)-1</f>
        <v>-4.6340379610232407E-3</v>
      </c>
      <c r="G84">
        <f>(Prices!G84/Prices!G85)-1</f>
        <v>-4.8273464622994311E-4</v>
      </c>
    </row>
    <row r="85" spans="1:7" x14ac:dyDescent="0.3">
      <c r="A85" s="1">
        <v>45911</v>
      </c>
      <c r="B85">
        <f>(Prices!B85/Prices!B86)-1</f>
        <v>-3.5425182335497296E-2</v>
      </c>
      <c r="C85">
        <f>(Prices!C85/Prices!C86)-1</f>
        <v>1.5883834642169248E-2</v>
      </c>
      <c r="D85">
        <f>(Prices!D85/Prices!D86)-1</f>
        <v>-3.1384505021520015E-3</v>
      </c>
      <c r="E85">
        <f>(Prices!E85/Prices!E86)-1</f>
        <v>1.2013256006627948E-2</v>
      </c>
      <c r="F85">
        <f>(Prices!F85/Prices!F86)-1</f>
        <v>8.1274798412902527E-3</v>
      </c>
      <c r="G85">
        <f>(Prices!G85/Prices!G86)-1</f>
        <v>8.4858635280862238E-3</v>
      </c>
    </row>
    <row r="86" spans="1:7" x14ac:dyDescent="0.3">
      <c r="A86" s="1">
        <v>45910</v>
      </c>
      <c r="B86">
        <f>(Prices!B86/Prices!B87)-1</f>
        <v>-1.2270424319189344E-2</v>
      </c>
      <c r="C86">
        <f>(Prices!C86/Prices!C87)-1</f>
        <v>-1.7069121202411885E-2</v>
      </c>
      <c r="D86">
        <f>(Prices!D86/Prices!D87)-1</f>
        <v>1.6683380435773554E-2</v>
      </c>
      <c r="E86">
        <f>(Prices!E86/Prices!E87)-1</f>
        <v>-5.7660626029654161E-3</v>
      </c>
      <c r="F86">
        <f>(Prices!F86/Prices!F87)-1</f>
        <v>-1.3198610672560784E-2</v>
      </c>
      <c r="G86">
        <f>(Prices!G86/Prices!G87)-1</f>
        <v>2.9834428900241683E-3</v>
      </c>
    </row>
    <row r="87" spans="1:7" x14ac:dyDescent="0.3">
      <c r="A87" s="1">
        <v>45909</v>
      </c>
      <c r="B87">
        <f>(Prices!B87/Prices!B88)-1</f>
        <v>1.4781491002570535E-2</v>
      </c>
      <c r="C87">
        <f>(Prices!C87/Prices!C88)-1</f>
        <v>4.947017153562383E-3</v>
      </c>
      <c r="D87">
        <f>(Prices!D87/Prices!D88)-1</f>
        <v>7.2543617998162002E-3</v>
      </c>
      <c r="E87">
        <f>(Prices!E87/Prices!E88)-1</f>
        <v>6.2163282221301408E-3</v>
      </c>
      <c r="F87">
        <f>(Prices!F87/Prices!F88)-1</f>
        <v>2.7863973149262478E-3</v>
      </c>
      <c r="G87">
        <f>(Prices!G87/Prices!G88)-1</f>
        <v>2.6881596267984698E-3</v>
      </c>
    </row>
    <row r="88" spans="1:7" x14ac:dyDescent="0.3">
      <c r="A88" s="1">
        <v>45908</v>
      </c>
      <c r="B88">
        <f>(Prices!B88/Prices!B89)-1</f>
        <v>8.0398777938572863E-4</v>
      </c>
      <c r="C88">
        <f>(Prices!C88/Prices!C89)-1</f>
        <v>-2.6858177147195406E-3</v>
      </c>
      <c r="D88">
        <f>(Prices!D88/Prices!D89)-1</f>
        <v>5.7258958256372061E-3</v>
      </c>
      <c r="E88">
        <f>(Prices!E88/Prices!E89)-1</f>
        <v>-1.3087934560327197E-2</v>
      </c>
      <c r="F88">
        <f>(Prices!F88/Prices!F89)-1</f>
        <v>-6.2928701780882168E-3</v>
      </c>
      <c r="G88">
        <f>(Prices!G88/Prices!G89)-1</f>
        <v>2.1059939828742547E-3</v>
      </c>
    </row>
    <row r="89" spans="1:7" x14ac:dyDescent="0.3">
      <c r="A89" s="1">
        <v>45905</v>
      </c>
      <c r="B89">
        <f>(Prices!B89/Prices!B90)-1</f>
        <v>-1.0894632206759458E-2</v>
      </c>
      <c r="C89">
        <f>(Prices!C89/Prices!C90)-1</f>
        <v>-2.2152440765058512E-2</v>
      </c>
      <c r="D89">
        <f>(Prices!D89/Prices!D90)-1</f>
        <v>-2.8268868347841702E-2</v>
      </c>
      <c r="E89">
        <f>(Prices!E89/Prices!E90)-1</f>
        <v>1.3681592039801016E-2</v>
      </c>
      <c r="F89">
        <f>(Prices!F89/Prices!F90)-1</f>
        <v>5.2505060728744724E-3</v>
      </c>
      <c r="G89">
        <f>(Prices!G89/Prices!G90)-1</f>
        <v>-3.1651410010334891E-3</v>
      </c>
    </row>
    <row r="90" spans="1:7" x14ac:dyDescent="0.3">
      <c r="A90" s="1">
        <v>45904</v>
      </c>
      <c r="B90">
        <f>(Prices!B90/Prices!B91)-1</f>
        <v>2.5526015331919671E-2</v>
      </c>
      <c r="C90">
        <f>(Prices!C90/Prices!C91)-1</f>
        <v>3.4268090696221165E-4</v>
      </c>
      <c r="D90">
        <f>(Prices!D90/Prices!D91)-1</f>
        <v>4.416801874887355E-3</v>
      </c>
      <c r="E90">
        <f>(Prices!E90/Prices!E91)-1</f>
        <v>-9.8522167487684609E-3</v>
      </c>
      <c r="F90">
        <f>(Prices!F90/Prices!F91)-1</f>
        <v>6.4302540268670327E-3</v>
      </c>
      <c r="G90">
        <f>(Prices!G90/Prices!G91)-1</f>
        <v>8.3464376436432897E-3</v>
      </c>
    </row>
    <row r="91" spans="1:7" x14ac:dyDescent="0.3">
      <c r="A91" s="1">
        <v>45903</v>
      </c>
      <c r="B91">
        <f>(Prices!B91/Prices!B92)-1</f>
        <v>9.9662301293139688E-3</v>
      </c>
      <c r="C91">
        <f>(Prices!C91/Prices!C92)-1</f>
        <v>2.2897704505122629E-3</v>
      </c>
      <c r="D91">
        <f>(Prices!D91/Prices!D92)-1</f>
        <v>-2.4274406332453924E-2</v>
      </c>
      <c r="E91">
        <f>(Prices!E91/Prices!E92)-1</f>
        <v>-7.7393075356415597E-3</v>
      </c>
      <c r="F91">
        <f>(Prices!F91/Prices!F92)-1</f>
        <v>1.14730065651103E-3</v>
      </c>
      <c r="G91">
        <f>(Prices!G91/Prices!G92)-1</f>
        <v>5.1001162801573852E-3</v>
      </c>
    </row>
    <row r="92" spans="1:7" x14ac:dyDescent="0.3">
      <c r="A92" s="1">
        <v>45902</v>
      </c>
      <c r="B92">
        <f>(Prices!B92/Prices!B93)-1</f>
        <v>4.8832974673067575E-3</v>
      </c>
      <c r="C92">
        <f>(Prices!C92/Prices!C93)-1</f>
        <v>-4.8422012077019572E-3</v>
      </c>
      <c r="D92">
        <f>(Prices!D92/Prices!D93)-1</f>
        <v>3.530450132391838E-3</v>
      </c>
      <c r="E92">
        <f>(Prices!E92/Prices!E93)-1</f>
        <v>9.04233456637904E-3</v>
      </c>
      <c r="F92">
        <f>(Prices!F92/Prices!F93)-1</f>
        <v>6.0275729400449674E-3</v>
      </c>
      <c r="G92">
        <f>(Prices!G92/Prices!G93)-1</f>
        <v>-6.9223220118076467E-3</v>
      </c>
    </row>
    <row r="93" spans="1:7" x14ac:dyDescent="0.3">
      <c r="A93" s="1">
        <v>45898</v>
      </c>
      <c r="B93">
        <f>(Prices!B93/Prices!B94)-1</f>
        <v>-1.8840344323534208E-2</v>
      </c>
      <c r="C93">
        <f>(Prices!C93/Prices!C94)-1</f>
        <v>5.4701148437723557E-3</v>
      </c>
      <c r="D93">
        <f>(Prices!D93/Prices!D94)-1</f>
        <v>8.2762303105810009E-3</v>
      </c>
      <c r="E93">
        <f>(Prices!E93/Prices!E94)-1</f>
        <v>6.6197765825402044E-3</v>
      </c>
      <c r="F93">
        <f>(Prices!F93/Prices!F94)-1</f>
        <v>8.9279937892217109E-3</v>
      </c>
      <c r="G93">
        <f>(Prices!G93/Prices!G94)-1</f>
        <v>-6.3981691392923645E-3</v>
      </c>
    </row>
    <row r="94" spans="1:7" x14ac:dyDescent="0.3">
      <c r="A94" s="1">
        <v>45897</v>
      </c>
      <c r="B94">
        <f>(Prices!B94/Prices!B95)-1</f>
        <v>6.4568859828362246E-3</v>
      </c>
      <c r="C94">
        <f>(Prices!C94/Prices!C95)-1</f>
        <v>-1.401361322427519E-3</v>
      </c>
      <c r="D94">
        <f>(Prices!D94/Prices!D95)-1</f>
        <v>5.3681667710476777E-3</v>
      </c>
      <c r="E94">
        <f>(Prices!E94/Prices!E95)-1</f>
        <v>-1.9074675324675328E-2</v>
      </c>
      <c r="F94">
        <f>(Prices!F94/Prices!F95)-1</f>
        <v>-8.340283569641449E-3</v>
      </c>
      <c r="G94">
        <f>(Prices!G94/Prices!G95)-1</f>
        <v>3.1567253988336041E-3</v>
      </c>
    </row>
    <row r="95" spans="1:7" x14ac:dyDescent="0.3">
      <c r="A95" s="1">
        <v>45896</v>
      </c>
      <c r="B95">
        <f>(Prices!B95/Prices!B96)-1</f>
        <v>-2.1205448168991614E-3</v>
      </c>
      <c r="C95">
        <f>(Prices!C95/Prices!C96)-1</f>
        <v>-2.3681132129304006E-3</v>
      </c>
      <c r="D95">
        <f>(Prices!D95/Prices!D96)-1</f>
        <v>1.1310170104958273E-2</v>
      </c>
      <c r="E95">
        <f>(Prices!E95/Prices!E96)-1</f>
        <v>6.1249489587587025E-3</v>
      </c>
      <c r="F95">
        <f>(Prices!F95/Prices!F96)-1</f>
        <v>6.3270708244562712E-3</v>
      </c>
      <c r="G95">
        <f>(Prices!G95/Prices!G96)-1</f>
        <v>2.3909903277790079E-3</v>
      </c>
    </row>
    <row r="96" spans="1:7" x14ac:dyDescent="0.3">
      <c r="A96" s="1">
        <v>45895</v>
      </c>
      <c r="B96">
        <f>(Prices!B96/Prices!B97)-1</f>
        <v>6.5676052869221291E-3</v>
      </c>
      <c r="C96">
        <f>(Prices!C96/Prices!C97)-1</f>
        <v>6.7790767816620079E-3</v>
      </c>
      <c r="D96">
        <f>(Prices!D96/Prices!D97)-1</f>
        <v>-2.2569287713279929E-3</v>
      </c>
      <c r="E96">
        <f>(Prices!E96/Prices!E97)-1</f>
        <v>-8.5020242914980448E-3</v>
      </c>
      <c r="F96">
        <f>(Prices!F96/Prices!F97)-1</f>
        <v>-1.1607661056297625E-3</v>
      </c>
      <c r="G96">
        <f>(Prices!G96/Prices!G97)-1</f>
        <v>4.1339768795463083E-3</v>
      </c>
    </row>
    <row r="97" spans="1:7" x14ac:dyDescent="0.3">
      <c r="A97" s="1">
        <v>45894</v>
      </c>
      <c r="B97">
        <f>(Prices!B97/Prices!B98)-1</f>
        <v>1.1207039681222053E-2</v>
      </c>
      <c r="C97">
        <f>(Prices!C97/Prices!C98)-1</f>
        <v>-3.4921997996280041E-3</v>
      </c>
      <c r="D97">
        <f>(Prices!D97/Prices!D98)-1</f>
        <v>4.0790427846266741E-3</v>
      </c>
      <c r="E97">
        <f>(Prices!E97/Prices!E98)-1</f>
        <v>-2.8706252457727066E-2</v>
      </c>
      <c r="F97">
        <f>(Prices!F97/Prices!F98)-1</f>
        <v>-1.5865964333312221E-2</v>
      </c>
      <c r="G97">
        <f>(Prices!G97/Prices!G98)-1</f>
        <v>-4.2663343080389105E-3</v>
      </c>
    </row>
    <row r="98" spans="1:7" x14ac:dyDescent="0.3">
      <c r="A98" s="1">
        <v>45891</v>
      </c>
      <c r="B98">
        <f>(Prices!B98/Prices!B99)-1</f>
        <v>-1.3264798540872924E-3</v>
      </c>
      <c r="C98">
        <f>(Prices!C98/Prices!C99)-1</f>
        <v>1.8483426139179748E-2</v>
      </c>
      <c r="D98">
        <f>(Prices!D98/Prices!D99)-1</f>
        <v>1.8840044329516026E-2</v>
      </c>
      <c r="E98">
        <f>(Prices!E98/Prices!E99)-1</f>
        <v>5.5357848952155564E-3</v>
      </c>
      <c r="F98">
        <f>(Prices!F98/Prices!F99)-1</f>
        <v>-3.8063820338773979E-4</v>
      </c>
      <c r="G98">
        <f>(Prices!G98/Prices!G99)-1</f>
        <v>1.518640789806236E-2</v>
      </c>
    </row>
    <row r="99" spans="1:7" x14ac:dyDescent="0.3">
      <c r="A99" s="1">
        <v>45890</v>
      </c>
      <c r="B99">
        <f>(Prices!B99/Prices!B100)-1</f>
        <v>-6.3431913666693873E-3</v>
      </c>
      <c r="C99">
        <f>(Prices!C99/Prices!C100)-1</f>
        <v>-6.9919883466862398E-4</v>
      </c>
      <c r="D99">
        <f>(Prices!D99/Prices!D100)-1</f>
        <v>6.4132354308021888E-3</v>
      </c>
      <c r="E99">
        <f>(Prices!E99/Prices!E100)-1</f>
        <v>1.4033680834001583E-2</v>
      </c>
      <c r="F99">
        <f>(Prices!F99/Prices!F100)-1</f>
        <v>-4.8611111111112049E-3</v>
      </c>
      <c r="G99">
        <f>(Prices!G99/Prices!G100)-1</f>
        <v>-4.0042027712021699E-3</v>
      </c>
    </row>
    <row r="100" spans="1:7" x14ac:dyDescent="0.3">
      <c r="A100" s="1">
        <v>45889</v>
      </c>
      <c r="B100">
        <f>(Prices!B100/Prices!B101)-1</f>
        <v>-2.4707626420694684E-4</v>
      </c>
      <c r="C100">
        <f>(Prices!C100/Prices!C101)-1</f>
        <v>4.330397635837091E-3</v>
      </c>
      <c r="D100">
        <f>(Prices!D100/Prices!D101)-1</f>
        <v>1.0329608413935709E-2</v>
      </c>
      <c r="E100">
        <f>(Prices!E100/Prices!E101)-1</f>
        <v>2.411575562700996E-3</v>
      </c>
      <c r="F100">
        <f>(Prices!F100/Prices!F101)-1</f>
        <v>6.9930069930068672E-3</v>
      </c>
      <c r="G100">
        <f>(Prices!G100/Prices!G101)-1</f>
        <v>-2.4316175793941408E-3</v>
      </c>
    </row>
    <row r="101" spans="1:7" x14ac:dyDescent="0.3">
      <c r="A101" s="1">
        <v>45888</v>
      </c>
      <c r="B101">
        <f>(Prices!B101/Prices!B102)-1</f>
        <v>-2.4817283752309072E-2</v>
      </c>
      <c r="C101">
        <f>(Prices!C101/Prices!C102)-1</f>
        <v>-8.4780447874643894E-4</v>
      </c>
      <c r="D101">
        <f>(Prices!D101/Prices!D102)-1</f>
        <v>6.6168825030719081E-3</v>
      </c>
      <c r="E101">
        <f>(Prices!E101/Prices!E102)-1</f>
        <v>9.7402597402596047E-3</v>
      </c>
      <c r="F101">
        <f>(Prices!F101/Prices!F102)-1</f>
        <v>1.7201241593378436E-2</v>
      </c>
      <c r="G101">
        <f>(Prices!G101/Prices!G102)-1</f>
        <v>-5.8581363435491474E-3</v>
      </c>
    </row>
    <row r="102" spans="1:7" x14ac:dyDescent="0.3">
      <c r="A102" s="1">
        <v>45887</v>
      </c>
      <c r="B102">
        <f>(Prices!B102/Prices!B103)-1</f>
        <v>5.0044394220680744E-3</v>
      </c>
      <c r="C102">
        <f>(Prices!C102/Prices!C103)-1</f>
        <v>-5.0321417144187919E-3</v>
      </c>
      <c r="D102">
        <f>(Prices!D102/Prices!D103)-1</f>
        <v>2.0839253575828387E-3</v>
      </c>
      <c r="E102">
        <f>(Prices!E102/Prices!E103)-1</f>
        <v>-2.4291497975708065E-3</v>
      </c>
      <c r="F102">
        <f>(Prices!F102/Prices!F103)-1</f>
        <v>8.8068367147235982E-3</v>
      </c>
      <c r="G102">
        <f>(Prices!G102/Prices!G103)-1</f>
        <v>-1.0077831870769494E-4</v>
      </c>
    </row>
    <row r="103" spans="1:7" x14ac:dyDescent="0.3">
      <c r="A103" s="1">
        <v>45884</v>
      </c>
      <c r="B103">
        <f>(Prices!B103/Prices!B104)-1</f>
        <v>6.7446773931414405E-3</v>
      </c>
      <c r="C103">
        <f>(Prices!C103/Prices!C104)-1</f>
        <v>-2.9581508656940647E-3</v>
      </c>
      <c r="D103">
        <f>(Prices!D103/Prices!D104)-1</f>
        <v>9.4813691096984343E-4</v>
      </c>
      <c r="E103">
        <f>(Prices!E103/Prices!E104)-1</f>
        <v>8.103727714747766E-4</v>
      </c>
      <c r="F103">
        <f>(Prices!F103/Prices!F104)-1</f>
        <v>4.0610467020369967E-3</v>
      </c>
      <c r="G103">
        <f>(Prices!G103/Prices!G104)-1</f>
        <v>-2.8970988816641174E-3</v>
      </c>
    </row>
    <row r="104" spans="1:7" x14ac:dyDescent="0.3">
      <c r="A104" s="1">
        <v>45883</v>
      </c>
      <c r="B104">
        <f>(Prices!B104/Prices!B105)-1</f>
        <v>2.1753570242444509E-2</v>
      </c>
      <c r="C104">
        <f>(Prices!C104/Prices!C105)-1</f>
        <v>8.5997601427443282E-3</v>
      </c>
      <c r="D104">
        <f>(Prices!D104/Prices!D105)-1</f>
        <v>-1.9871309613929133E-3</v>
      </c>
      <c r="E104">
        <f>(Prices!E104/Prices!E105)-1</f>
        <v>-1.6181229773462036E-3</v>
      </c>
      <c r="F104">
        <f>(Prices!F104/Prices!F105)-1</f>
        <v>-1.0756171839564677E-2</v>
      </c>
      <c r="G104">
        <f>(Prices!G104/Prices!G105)-1</f>
        <v>3.0309684562790373E-4</v>
      </c>
    </row>
    <row r="105" spans="1:7" x14ac:dyDescent="0.3">
      <c r="A105" s="1">
        <v>45882</v>
      </c>
      <c r="B105">
        <f>(Prices!B105/Prices!B106)-1</f>
        <v>-1.7057047253733804E-2</v>
      </c>
      <c r="C105">
        <f>(Prices!C105/Prices!C106)-1</f>
        <v>1.7258309280804518E-2</v>
      </c>
      <c r="D105">
        <f>(Prices!D105/Prices!D106)-1</f>
        <v>1.3814274750575617E-2</v>
      </c>
      <c r="E105">
        <f>(Prices!E105/Prices!E106)-1</f>
        <v>2.0644095788604488E-2</v>
      </c>
      <c r="F105">
        <f>(Prices!F105/Prices!F106)-1</f>
        <v>2.077787156678168E-3</v>
      </c>
      <c r="G105">
        <f>(Prices!G105/Prices!G106)-1</f>
        <v>3.2300302834731287E-3</v>
      </c>
    </row>
    <row r="106" spans="1:7" x14ac:dyDescent="0.3">
      <c r="A106" s="1">
        <v>45881</v>
      </c>
      <c r="B106">
        <f>(Prices!B106/Prices!B107)-1</f>
        <v>5.7457112369696528E-3</v>
      </c>
      <c r="C106">
        <f>(Prices!C106/Prices!C107)-1</f>
        <v>4.2432392051396928E-3</v>
      </c>
      <c r="D106">
        <f>(Prices!D106/Prices!D107)-1</f>
        <v>2.7898027898027866E-3</v>
      </c>
      <c r="E106">
        <f>(Prices!E106/Prices!E107)-1</f>
        <v>2.8985507246377384E-3</v>
      </c>
      <c r="F106">
        <f>(Prices!F106/Prices!F107)-1</f>
        <v>7.147498375568162E-4</v>
      </c>
      <c r="G106">
        <f>(Prices!G106/Prices!G107)-1</f>
        <v>1.1345503612643082E-2</v>
      </c>
    </row>
    <row r="107" spans="1:7" x14ac:dyDescent="0.3">
      <c r="A107" s="1">
        <v>45880</v>
      </c>
      <c r="B107">
        <f>(Prices!B107/Prices!B108)-1</f>
        <v>5.5298778474743848E-3</v>
      </c>
      <c r="C107">
        <f>(Prices!C107/Prices!C108)-1</f>
        <v>-2.5929899856939054E-3</v>
      </c>
      <c r="D107">
        <f>(Prices!D107/Prices!D108)-1</f>
        <v>-9.0562440419447165E-3</v>
      </c>
      <c r="E107">
        <f>(Prices!E107/Prices!E108)-1</f>
        <v>0</v>
      </c>
      <c r="F107">
        <f>(Prices!F107/Prices!F108)-1</f>
        <v>9.5775387037524418E-3</v>
      </c>
      <c r="G107">
        <f>(Prices!G107/Prices!G108)-1</f>
        <v>-2.5041278983324311E-3</v>
      </c>
    </row>
    <row r="108" spans="1:7" x14ac:dyDescent="0.3">
      <c r="A108" s="1">
        <v>45877</v>
      </c>
      <c r="B108">
        <f>(Prices!B108/Prices!B109)-1</f>
        <v>2.6431718061673992E-2</v>
      </c>
      <c r="C108">
        <f>(Prices!C108/Prices!C109)-1</f>
        <v>1.4115157926552602E-2</v>
      </c>
      <c r="D108">
        <f>(Prices!D108/Prices!D109)-1</f>
        <v>8.0722660003844648E-3</v>
      </c>
      <c r="E108">
        <f>(Prices!E108/Prices!E109)-1</f>
        <v>1.4279714405711852E-2</v>
      </c>
      <c r="F108">
        <f>(Prices!F108/Prices!F109)-1</f>
        <v>1.3121637580382206E-4</v>
      </c>
      <c r="G108">
        <f>(Prices!G108/Prices!G109)-1</f>
        <v>7.7996845425867267E-3</v>
      </c>
    </row>
    <row r="109" spans="1:7" x14ac:dyDescent="0.3">
      <c r="A109" s="1">
        <v>45876</v>
      </c>
      <c r="B109">
        <f>(Prices!B109/Prices!B110)-1</f>
        <v>1.6122189223590766E-3</v>
      </c>
      <c r="C109">
        <f>(Prices!C109/Prices!C110)-1</f>
        <v>-2.251307353679799E-2</v>
      </c>
      <c r="D109">
        <f>(Prices!D109/Prices!D110)-1</f>
        <v>-5.2576235541534899E-3</v>
      </c>
      <c r="E109">
        <f>(Prices!E109/Prices!E110)-1</f>
        <v>1.2329931972788977E-2</v>
      </c>
      <c r="F109">
        <f>(Prices!F109/Prices!F110)-1</f>
        <v>4.0843214756256518E-3</v>
      </c>
      <c r="G109">
        <f>(Prices!G109/Prices!G110)-1</f>
        <v>-7.9747078829839335E-4</v>
      </c>
    </row>
    <row r="110" spans="1:7" x14ac:dyDescent="0.3">
      <c r="A110" s="1">
        <v>45875</v>
      </c>
      <c r="B110">
        <f>(Prices!B110/Prices!B111)-1</f>
        <v>2.6657374335743445E-2</v>
      </c>
      <c r="C110">
        <f>(Prices!C110/Prices!C111)-1</f>
        <v>6.8417764821371296E-3</v>
      </c>
      <c r="D110">
        <f>(Prices!D110/Prices!D111)-1</f>
        <v>-6.8356593563086987E-3</v>
      </c>
      <c r="E110">
        <f>(Prices!E110/Prices!E111)-1</f>
        <v>-3.289473684210531E-2</v>
      </c>
      <c r="F110">
        <f>(Prices!F110/Prices!F111)-1</f>
        <v>1.5656362906463217E-2</v>
      </c>
      <c r="G110">
        <f>(Prices!G110/Prices!G111)-1</f>
        <v>7.2818886237755454E-3</v>
      </c>
    </row>
    <row r="111" spans="1:7" x14ac:dyDescent="0.3">
      <c r="A111" s="1">
        <v>45874</v>
      </c>
      <c r="B111">
        <f>(Prices!B111/Prices!B112)-1</f>
        <v>-1.9726729291204004E-2</v>
      </c>
      <c r="C111">
        <f>(Prices!C111/Prices!C112)-1</f>
        <v>-1.3788247719071722E-2</v>
      </c>
      <c r="D111">
        <f>(Prices!D111/Prices!D112)-1</f>
        <v>-1.2326948606106169E-3</v>
      </c>
      <c r="E111">
        <f>(Prices!E111/Prices!E112)-1</f>
        <v>5.1903114186851118E-2</v>
      </c>
      <c r="F111">
        <f>(Prices!F111/Prices!F112)-1</f>
        <v>-1.6698951305857967E-3</v>
      </c>
      <c r="G111">
        <f>(Prices!G111/Prices!G112)-1</f>
        <v>-4.8578659513360822E-3</v>
      </c>
    </row>
    <row r="112" spans="1:7" x14ac:dyDescent="0.3">
      <c r="A112" s="1">
        <v>45873</v>
      </c>
      <c r="B112">
        <f>(Prices!B112/Prices!B113)-1</f>
        <v>1.0702572069739347E-2</v>
      </c>
      <c r="C112">
        <f>(Prices!C112/Prices!C113)-1</f>
        <v>8.2524846190250578E-3</v>
      </c>
      <c r="D112">
        <f>(Prices!D112/Prices!D113)-1</f>
        <v>-2.0707586591141247E-2</v>
      </c>
      <c r="E112">
        <f>(Prices!E112/Prices!E113)-1</f>
        <v>1.7331022530331364E-3</v>
      </c>
      <c r="F112">
        <f>(Prices!F112/Prices!F113)-1</f>
        <v>7.3529411764705621E-4</v>
      </c>
      <c r="G112">
        <f>(Prices!G112/Prices!G113)-1</f>
        <v>1.473707159815385E-2</v>
      </c>
    </row>
    <row r="113" spans="1:7" x14ac:dyDescent="0.3">
      <c r="A113" s="1">
        <v>45870</v>
      </c>
      <c r="B113">
        <f>(Prices!B113/Prices!B114)-1</f>
        <v>-6.9001207521135477E-4</v>
      </c>
      <c r="C113">
        <f>(Prices!C113/Prices!C114)-1</f>
        <v>-1.7723284327967992E-2</v>
      </c>
      <c r="D113">
        <f>(Prices!D113/Prices!D114)-1</f>
        <v>-1.7875056999544059E-2</v>
      </c>
      <c r="E113">
        <f>(Prices!E113/Prices!E114)-1</f>
        <v>8.3005679335954596E-3</v>
      </c>
      <c r="F113">
        <f>(Prices!F113/Prices!F114)-1</f>
        <v>1.1376564277587597E-3</v>
      </c>
      <c r="G113">
        <f>(Prices!G113/Prices!G114)-1</f>
        <v>-1.5992074947274171E-2</v>
      </c>
    </row>
    <row r="114" spans="1:7" x14ac:dyDescent="0.3">
      <c r="A114" s="1">
        <v>45869</v>
      </c>
      <c r="B114">
        <f>(Prices!B114/Prices!B115)-1</f>
        <v>-2.0942408376963373E-2</v>
      </c>
      <c r="C114">
        <f>(Prices!C114/Prices!C115)-1</f>
        <v>-1.5503432494279212E-2</v>
      </c>
      <c r="D114">
        <f>(Prices!D114/Prices!D115)-1</f>
        <v>-2.3655718314984364E-3</v>
      </c>
      <c r="E114">
        <f>(Prices!E114/Prices!E115)-1</f>
        <v>-2.1794871794871717E-2</v>
      </c>
      <c r="F114">
        <f>(Prices!F114/Prices!F115)-1</f>
        <v>-1.5742326439204257E-2</v>
      </c>
      <c r="G114">
        <f>(Prices!G114/Prices!G115)-1</f>
        <v>-3.6948561190650597E-3</v>
      </c>
    </row>
    <row r="115" spans="1:7" x14ac:dyDescent="0.3">
      <c r="A115" s="1">
        <v>45868</v>
      </c>
      <c r="B115">
        <f>(Prices!B115/Prices!B116)-1</f>
        <v>1.3262599469495928E-2</v>
      </c>
      <c r="C115">
        <f>(Prices!C115/Prices!C116)-1</f>
        <v>-1.0857763300760048E-3</v>
      </c>
      <c r="D115">
        <f>(Prices!D115/Prices!D116)-1</f>
        <v>-8.6587895733742926E-3</v>
      </c>
      <c r="E115">
        <f>(Prices!E115/Prices!E116)-1</f>
        <v>-2.010050251256279E-2</v>
      </c>
      <c r="F115">
        <f>(Prices!F115/Prices!F116)-1</f>
        <v>-2.3791152263374582E-2</v>
      </c>
      <c r="G115">
        <f>(Prices!G115/Prices!G116)-1</f>
        <v>-1.249438851269713E-3</v>
      </c>
    </row>
    <row r="116" spans="1:7" x14ac:dyDescent="0.3">
      <c r="A116" s="1">
        <v>45867</v>
      </c>
      <c r="B116">
        <f>(Prices!B116/Prices!B117)-1</f>
        <v>-5.0229865486122183E-3</v>
      </c>
      <c r="C116">
        <f>(Prices!C116/Prices!C117)-1</f>
        <v>-1.1746766815383669E-2</v>
      </c>
      <c r="D116">
        <f>(Prices!D116/Prices!D117)-1</f>
        <v>1.2881417869541556E-2</v>
      </c>
      <c r="E116">
        <f>(Prices!E116/Prices!E117)-1</f>
        <v>-4.185851820845965E-4</v>
      </c>
      <c r="F116">
        <f>(Prices!F116/Prices!F117)-1</f>
        <v>-3.2047173439302412E-3</v>
      </c>
      <c r="G116">
        <f>(Prices!G116/Prices!G117)-1</f>
        <v>-2.9594179446209568E-3</v>
      </c>
    </row>
    <row r="117" spans="1:7" x14ac:dyDescent="0.3">
      <c r="A117" s="1">
        <v>45866</v>
      </c>
      <c r="B117">
        <f>(Prices!B117/Prices!B118)-1</f>
        <v>-4.9978822532825706E-3</v>
      </c>
      <c r="C117">
        <f>(Prices!C117/Prices!C118)-1</f>
        <v>-4.4137077956761805E-3</v>
      </c>
      <c r="D117">
        <f>(Prices!D117/Prices!D118)-1</f>
        <v>9.4992160841094186E-3</v>
      </c>
      <c r="E117">
        <f>(Prices!E117/Prices!E118)-1</f>
        <v>-1.9293924466338264E-2</v>
      </c>
      <c r="F117">
        <f>(Prices!F117/Prices!F118)-1</f>
        <v>-7.5063613231550752E-3</v>
      </c>
      <c r="G117">
        <f>(Prices!G117/Prices!G118)-1</f>
        <v>1.7687645570885202E-4</v>
      </c>
    </row>
    <row r="118" spans="1:7" x14ac:dyDescent="0.3">
      <c r="A118" s="1">
        <v>45863</v>
      </c>
      <c r="B118">
        <f>(Prices!B118/Prices!B119)-1</f>
        <v>-2.5406504065039748E-4</v>
      </c>
      <c r="C118">
        <f>(Prices!C118/Prices!C119)-1</f>
        <v>8.6771586558911373E-3</v>
      </c>
      <c r="D118">
        <f>(Prices!D118/Prices!D119)-1</f>
        <v>-3.5839000183788272E-3</v>
      </c>
      <c r="E118">
        <f>(Prices!E118/Prices!E119)-1</f>
        <v>-5.3082890975908459E-3</v>
      </c>
      <c r="F118">
        <f>(Prices!F118/Prices!F119)-1</f>
        <v>-3.2337835267264303E-3</v>
      </c>
      <c r="G118">
        <f>(Prices!G118/Prices!G119)-1</f>
        <v>3.9743217016194876E-3</v>
      </c>
    </row>
    <row r="119" spans="1:7" x14ac:dyDescent="0.3">
      <c r="A119" s="1">
        <v>45862</v>
      </c>
      <c r="B119">
        <f>(Prices!B119/Prices!B120)-1</f>
        <v>3.3990482664854049E-3</v>
      </c>
      <c r="C119">
        <f>(Prices!C119/Prices!C120)-1</f>
        <v>-3.7009831619392308E-3</v>
      </c>
      <c r="D119">
        <f>(Prices!D119/Prices!D120)-1</f>
        <v>7.8725571918125681E-3</v>
      </c>
      <c r="E119">
        <f>(Prices!E119/Prices!E120)-1</f>
        <v>-4.0816326530623837E-4</v>
      </c>
      <c r="F119">
        <f>(Prices!F119/Prices!F120)-1</f>
        <v>3.3719302710268906E-3</v>
      </c>
      <c r="G119">
        <f>(Prices!G119/Prices!G120)-1</f>
        <v>6.9823287324410899E-4</v>
      </c>
    </row>
    <row r="120" spans="1:7" x14ac:dyDescent="0.3">
      <c r="A120" s="1">
        <v>45861</v>
      </c>
      <c r="B120">
        <f>(Prices!B120/Prices!B121)-1</f>
        <v>-1.1175531467943811E-2</v>
      </c>
      <c r="C120">
        <f>(Prices!C120/Prices!C121)-1</f>
        <v>9.7275709599200511E-3</v>
      </c>
      <c r="D120">
        <f>(Prices!D120/Prices!D121)-1</f>
        <v>1.2756777037801426E-2</v>
      </c>
      <c r="E120">
        <f>(Prices!E120/Prices!E121)-1</f>
        <v>8.6455331412103043E-3</v>
      </c>
      <c r="F120">
        <f>(Prices!F120/Prices!F121)-1</f>
        <v>-2.5442055718094547E-4</v>
      </c>
      <c r="G120">
        <f>(Prices!G120/Prices!G121)-1</f>
        <v>7.8118809056646477E-3</v>
      </c>
    </row>
    <row r="121" spans="1:7" x14ac:dyDescent="0.3">
      <c r="A121" s="1">
        <v>45860</v>
      </c>
      <c r="B121">
        <f>(Prices!B121/Prices!B122)-1</f>
        <v>-3.5027973729019668E-2</v>
      </c>
      <c r="C121">
        <f>(Prices!C121/Prices!C122)-1</f>
        <v>2.6313531447530458E-3</v>
      </c>
      <c r="D121">
        <f>(Prices!D121/Prices!D122)-1</f>
        <v>4.5227551116555631E-3</v>
      </c>
      <c r="E121">
        <f>(Prices!E121/Prices!E122)-1</f>
        <v>3.6262798634812299E-2</v>
      </c>
      <c r="F121">
        <f>(Prices!F121/Prices!F122)-1</f>
        <v>2.1240662552777012E-2</v>
      </c>
      <c r="G121">
        <f>(Prices!G121/Prices!G122)-1</f>
        <v>6.3752854605425568E-4</v>
      </c>
    </row>
    <row r="122" spans="1:7" x14ac:dyDescent="0.3">
      <c r="A122" s="1">
        <v>45859</v>
      </c>
      <c r="B122">
        <f>(Prices!B122/Prices!B123)-1</f>
        <v>1.9930532583526173E-2</v>
      </c>
      <c r="C122">
        <f>(Prices!C122/Prices!C123)-1</f>
        <v>5.4061826024442983E-3</v>
      </c>
      <c r="D122">
        <f>(Prices!D122/Prices!D123)-1</f>
        <v>2.6452527161076045E-3</v>
      </c>
      <c r="E122">
        <f>(Prices!E122/Prices!E123)-1</f>
        <v>-8.4602368866327771E-3</v>
      </c>
      <c r="F122">
        <f>(Prices!F122/Prices!F123)-1</f>
        <v>-4.5448643033385583E-4</v>
      </c>
      <c r="G122">
        <f>(Prices!G122/Prices!G123)-1</f>
        <v>1.3991255862113583E-3</v>
      </c>
    </row>
    <row r="123" spans="1:7" x14ac:dyDescent="0.3">
      <c r="A123" s="1">
        <v>45856</v>
      </c>
      <c r="B123">
        <f>(Prices!B123/Prices!B124)-1</f>
        <v>-5.1012399937215513E-2</v>
      </c>
      <c r="C123">
        <f>(Prices!C123/Prices!C124)-1</f>
        <v>-2.1807121746865166E-3</v>
      </c>
      <c r="D123">
        <f>(Prices!D123/Prices!D124)-1</f>
        <v>-3.4831768031366894E-2</v>
      </c>
      <c r="E123">
        <f>(Prices!E123/Prices!E124)-1</f>
        <v>-4.2122999157538921E-3</v>
      </c>
      <c r="F123">
        <f>(Prices!F123/Prices!F124)-1</f>
        <v>3.4529936803699979E-3</v>
      </c>
      <c r="G123">
        <f>(Prices!G123/Prices!G124)-1</f>
        <v>-9.0514120202667137E-5</v>
      </c>
    </row>
    <row r="124" spans="1:7" x14ac:dyDescent="0.3">
      <c r="A124" s="1">
        <v>45855</v>
      </c>
      <c r="B124">
        <f>(Prices!B124/Prices!B125)-1</f>
        <v>1.9115412301047741E-2</v>
      </c>
      <c r="C124">
        <f>(Prices!C124/Prices!C125)-1</f>
        <v>-2.2949596947696715E-4</v>
      </c>
      <c r="D124">
        <f>(Prices!D124/Prices!D125)-1</f>
        <v>-5.0802866733193897E-3</v>
      </c>
      <c r="E124">
        <f>(Prices!E124/Prices!E125)-1</f>
        <v>-1.2620950778292617E-3</v>
      </c>
      <c r="F124">
        <f>(Prices!F124/Prices!F125)-1</f>
        <v>1.2266701840005334E-2</v>
      </c>
      <c r="G124">
        <f>(Prices!G124/Prices!G125)-1</f>
        <v>5.3738205852771337E-3</v>
      </c>
    </row>
    <row r="125" spans="1:7" x14ac:dyDescent="0.3">
      <c r="A125" s="1">
        <v>45854</v>
      </c>
      <c r="B125">
        <f>(Prices!B125/Prices!B126)-1</f>
        <v>-7.9346187415694214E-3</v>
      </c>
      <c r="C125">
        <f>(Prices!C125/Prices!C126)-1</f>
        <v>8.2723512567608459E-3</v>
      </c>
      <c r="D125">
        <f>(Prices!D125/Prices!D126)-1</f>
        <v>-6.0414788097384875E-3</v>
      </c>
      <c r="E125">
        <f>(Prices!E125/Prices!E126)-1</f>
        <v>0</v>
      </c>
      <c r="F125">
        <f>(Prices!F125/Prices!F126)-1</f>
        <v>6.9061690683311916E-3</v>
      </c>
      <c r="G125">
        <f>(Prices!G125/Prices!G126)-1</f>
        <v>3.193588478737075E-3</v>
      </c>
    </row>
    <row r="126" spans="1:7" x14ac:dyDescent="0.3">
      <c r="A126" s="1">
        <v>45853</v>
      </c>
      <c r="B126">
        <f>(Prices!B126/Prices!B127)-1</f>
        <v>-1.2679293129407299E-3</v>
      </c>
      <c r="C126">
        <f>(Prices!C126/Prices!C127)-1</f>
        <v>-9.9086457229587976E-3</v>
      </c>
      <c r="D126">
        <f>(Prices!D126/Prices!D127)-1</f>
        <v>-8.8479756904101814E-3</v>
      </c>
      <c r="E126">
        <f>(Prices!E126/Prices!E127)-1</f>
        <v>-2.9399755002041617E-2</v>
      </c>
      <c r="F126">
        <f>(Prices!F126/Prices!F127)-1</f>
        <v>-7.0552551760516558E-3</v>
      </c>
      <c r="G126">
        <f>(Prices!G126/Prices!G127)-1</f>
        <v>-3.9562515154996092E-3</v>
      </c>
    </row>
    <row r="127" spans="1:7" x14ac:dyDescent="0.3">
      <c r="A127" s="1">
        <v>45852</v>
      </c>
      <c r="B127">
        <f>(Prices!B127/Prices!B128)-1</f>
        <v>1.3492892137177748E-2</v>
      </c>
      <c r="C127">
        <f>(Prices!C127/Prices!C128)-1</f>
        <v>7.3853965323256165E-3</v>
      </c>
      <c r="D127">
        <f>(Prices!D127/Prices!D128)-1</f>
        <v>-1.3054599982358694E-2</v>
      </c>
      <c r="E127">
        <f>(Prices!E127/Prices!E128)-1</f>
        <v>-1.1702986279257588E-2</v>
      </c>
      <c r="F127">
        <f>(Prices!F127/Prices!F128)-1</f>
        <v>-2.0916720464816074E-2</v>
      </c>
      <c r="G127">
        <f>(Prices!G127/Prices!G128)-1</f>
        <v>1.4074044490595128E-3</v>
      </c>
    </row>
    <row r="128" spans="1:7" x14ac:dyDescent="0.3">
      <c r="A128" s="1">
        <v>45849</v>
      </c>
      <c r="B128">
        <f>(Prices!B128/Prices!B129)-1</f>
        <v>-4.3978890132736481E-3</v>
      </c>
      <c r="C128">
        <f>(Prices!C128/Prices!C129)-1</f>
        <v>-2.2338175151600637E-2</v>
      </c>
      <c r="D128">
        <f>(Prices!D128/Prices!D129)-1</f>
        <v>4.3408929836996624E-3</v>
      </c>
      <c r="E128">
        <f>(Prices!E128/Prices!E129)-1</f>
        <v>-4.8192771084336616E-3</v>
      </c>
      <c r="F128">
        <f>(Prices!F128/Prices!F129)-1</f>
        <v>-9.0839303991810949E-3</v>
      </c>
      <c r="G128">
        <f>(Prices!G128/Prices!G129)-1</f>
        <v>-3.2975291618766445E-3</v>
      </c>
    </row>
    <row r="129" spans="1:7" x14ac:dyDescent="0.3">
      <c r="A129" s="1">
        <v>45848</v>
      </c>
      <c r="B129">
        <f>(Prices!B129/Prices!B130)-1</f>
        <v>-2.9263370332997085E-2</v>
      </c>
      <c r="C129">
        <f>(Prices!C129/Prices!C130)-1</f>
        <v>-5.2745279578038096E-3</v>
      </c>
      <c r="D129">
        <f>(Prices!D129/Prices!D130)-1</f>
        <v>9.9311085264381926E-3</v>
      </c>
      <c r="E129">
        <f>(Prices!E129/Prices!E130)-1</f>
        <v>8.5054678007290274E-3</v>
      </c>
      <c r="F129">
        <f>(Prices!F129/Prices!F130)-1</f>
        <v>6.1791967044282359E-3</v>
      </c>
      <c r="G129">
        <f>(Prices!G129/Prices!G130)-1</f>
        <v>2.7461737178402501E-3</v>
      </c>
    </row>
    <row r="130" spans="1:7" x14ac:dyDescent="0.3">
      <c r="A130" s="1">
        <v>45847</v>
      </c>
      <c r="B130">
        <f>(Prices!B130/Prices!B131)-1</f>
        <v>1.0193679918450549E-2</v>
      </c>
      <c r="C130">
        <f>(Prices!C130/Prices!C131)-1</f>
        <v>9.0592531778161955E-3</v>
      </c>
      <c r="D130">
        <f>(Prices!D130/Prices!D131)-1</f>
        <v>-3.4771754636233609E-3</v>
      </c>
      <c r="E130">
        <f>(Prices!E130/Prices!E131)-1</f>
        <v>-2.4242424242423288E-3</v>
      </c>
      <c r="F130">
        <f>(Prices!F130/Prices!F131)-1</f>
        <v>-2.3759070185576103E-3</v>
      </c>
      <c r="G130">
        <f>(Prices!G130/Prices!G131)-1</f>
        <v>6.0621442064276998E-3</v>
      </c>
    </row>
    <row r="131" spans="1:7" x14ac:dyDescent="0.3">
      <c r="A131" s="1">
        <v>45846</v>
      </c>
      <c r="B131">
        <f>(Prices!B131/Prices!B132)-1</f>
        <v>-1.1088709677419373E-2</v>
      </c>
      <c r="C131">
        <f>(Prices!C131/Prices!C132)-1</f>
        <v>-5.8540429484111867E-3</v>
      </c>
      <c r="D131">
        <f>(Prices!D131/Prices!D132)-1</f>
        <v>2.7765050856776385E-2</v>
      </c>
      <c r="E131">
        <f>(Prices!E131/Prices!E132)-1</f>
        <v>1.5176374077112476E-2</v>
      </c>
      <c r="F131">
        <f>(Prices!F131/Prices!F132)-1</f>
        <v>-1.6234996841440474E-2</v>
      </c>
      <c r="G131">
        <f>(Prices!G131/Prices!G132)-1</f>
        <v>-7.1589314893449885E-4</v>
      </c>
    </row>
    <row r="132" spans="1:7" x14ac:dyDescent="0.3">
      <c r="A132" s="1">
        <v>45845</v>
      </c>
      <c r="B132">
        <f>(Prices!B132/Prices!B133)-1</f>
        <v>-5.8587727412888757E-3</v>
      </c>
      <c r="C132">
        <f>(Prices!C132/Prices!C133)-1</f>
        <v>-6.1814723651822945E-3</v>
      </c>
      <c r="D132">
        <f>(Prices!D132/Prices!D133)-1</f>
        <v>-9.7096188747731738E-3</v>
      </c>
      <c r="E132">
        <f>(Prices!E132/Prices!E133)-1</f>
        <v>-5.7096247960848334E-3</v>
      </c>
      <c r="F132">
        <f>(Prices!F132/Prices!F133)-1</f>
        <v>-2.0803126772992453E-3</v>
      </c>
      <c r="G132">
        <f>(Prices!G132/Prices!G133)-1</f>
        <v>-7.8622787390415505E-3</v>
      </c>
    </row>
    <row r="133" spans="1:7" x14ac:dyDescent="0.3">
      <c r="A133" s="1">
        <v>45841</v>
      </c>
      <c r="B133">
        <f>(Prices!B133/Prices!B134)-1</f>
        <v>9.5727293952836412E-3</v>
      </c>
      <c r="C133">
        <f>(Prices!C133/Prices!C134)-1</f>
        <v>1.3091527344856857E-2</v>
      </c>
      <c r="D133">
        <f>(Prices!D133/Prices!D134)-1</f>
        <v>1.0360319061153422E-2</v>
      </c>
      <c r="E133">
        <f>(Prices!E133/Prices!E134)-1</f>
        <v>2.4529844644316512E-3</v>
      </c>
      <c r="F133">
        <f>(Prices!F133/Prices!F134)-1</f>
        <v>-2.264293351783242E-3</v>
      </c>
      <c r="G133">
        <f>(Prices!G133/Prices!G134)-1</f>
        <v>8.33892687501403E-3</v>
      </c>
    </row>
    <row r="134" spans="1:7" x14ac:dyDescent="0.3">
      <c r="A134" s="1">
        <v>45840</v>
      </c>
      <c r="B134">
        <f>(Prices!B134/Prices!B135)-1</f>
        <v>-6.7254174397032296E-3</v>
      </c>
      <c r="C134">
        <f>(Prices!C134/Prices!C135)-1</f>
        <v>-3.5014401084316749E-3</v>
      </c>
      <c r="D134">
        <f>(Prices!D134/Prices!D135)-1</f>
        <v>1.6590548979401598E-2</v>
      </c>
      <c r="E134">
        <f>(Prices!E134/Prices!E135)-1</f>
        <v>1.1161637040099093E-2</v>
      </c>
      <c r="F134">
        <f>(Prices!F134/Prices!F135)-1</f>
        <v>-1.2577825293991207E-4</v>
      </c>
      <c r="G134">
        <f>(Prices!G134/Prices!G135)-1</f>
        <v>4.7450714019499074E-3</v>
      </c>
    </row>
    <row r="135" spans="1:7" x14ac:dyDescent="0.3">
      <c r="A135" s="1">
        <v>45839</v>
      </c>
      <c r="B135">
        <f>(Prices!B135/Prices!B136)-1</f>
        <v>-3.3978044955566999E-2</v>
      </c>
      <c r="C135">
        <f>(Prices!C135/Prices!C136)-1</f>
        <v>1.1590761315125597E-3</v>
      </c>
      <c r="D135">
        <f>(Prices!D135/Prices!D136)-1</f>
        <v>1.3316962599168924E-2</v>
      </c>
      <c r="E135">
        <f>(Prices!E135/Prices!E136)-1</f>
        <v>3.2877882152006821E-2</v>
      </c>
      <c r="F135">
        <f>(Prices!F135/Prices!F136)-1</f>
        <v>1.1900216367570327E-2</v>
      </c>
      <c r="G135">
        <f>(Prices!G135/Prices!G136)-1</f>
        <v>-1.1184618731818752E-3</v>
      </c>
    </row>
    <row r="136" spans="1:7" x14ac:dyDescent="0.3">
      <c r="A136" s="1">
        <v>45838</v>
      </c>
      <c r="B136">
        <f>(Prices!B136/Prices!B137)-1</f>
        <v>1.2092812334668634E-2</v>
      </c>
      <c r="C136">
        <f>(Prices!C136/Prices!C137)-1</f>
        <v>1.8484927010451901E-2</v>
      </c>
      <c r="D136">
        <f>(Prices!D136/Prices!D137)-1</f>
        <v>-1.4427999627664612E-2</v>
      </c>
      <c r="E136">
        <f>(Prices!E136/Prices!E137)-1</f>
        <v>2.1394950791613354E-3</v>
      </c>
      <c r="F136">
        <f>(Prices!F136/Prices!F137)-1</f>
        <v>-3.3614511321113927E-3</v>
      </c>
      <c r="G136">
        <f>(Prices!G136/Prices!G137)-1</f>
        <v>5.1643671625301035E-3</v>
      </c>
    </row>
    <row r="137" spans="1:7" x14ac:dyDescent="0.3">
      <c r="A137" s="1">
        <v>45835</v>
      </c>
      <c r="B137">
        <f>(Prices!B137/Prices!B138)-1</f>
        <v>1.2550700237238921E-2</v>
      </c>
      <c r="C137">
        <f>(Prices!C137/Prices!C138)-1</f>
        <v>7.4548935429599172E-3</v>
      </c>
      <c r="D137">
        <f>(Prices!D137/Prices!D138)-1</f>
        <v>-5.5540127742292889E-3</v>
      </c>
      <c r="E137">
        <f>(Prices!E137/Prices!E138)-1</f>
        <v>-2.1349274124680129E-3</v>
      </c>
      <c r="F137">
        <f>(Prices!F137/Prices!F138)-1</f>
        <v>7.7336060334909362E-3</v>
      </c>
      <c r="G137">
        <f>(Prices!G137/Prices!G138)-1</f>
        <v>5.2190027063907518E-3</v>
      </c>
    </row>
    <row r="138" spans="1:7" x14ac:dyDescent="0.3">
      <c r="A138" s="1">
        <v>45834</v>
      </c>
      <c r="B138">
        <f>(Prices!B138/Prices!B139)-1</f>
        <v>2.4621657649180451E-2</v>
      </c>
      <c r="C138">
        <f>(Prices!C138/Prices!C139)-1</f>
        <v>2.2385673169171838E-3</v>
      </c>
      <c r="D138">
        <f>(Prices!D138/Prices!D139)-1</f>
        <v>1.4937993235625724E-2</v>
      </c>
      <c r="E138">
        <f>(Prices!E138/Prices!E139)-1</f>
        <v>-8.5324232081906981E-4</v>
      </c>
      <c r="F138">
        <f>(Prices!F138/Prices!F139)-1</f>
        <v>-2.1047260667133028E-3</v>
      </c>
      <c r="G138">
        <f>(Prices!G138/Prices!G139)-1</f>
        <v>8.0201439226810223E-3</v>
      </c>
    </row>
    <row r="139" spans="1:7" x14ac:dyDescent="0.3">
      <c r="A139" s="1">
        <v>45833</v>
      </c>
      <c r="B139">
        <f>(Prices!B139/Prices!B140)-1</f>
        <v>-2.9708388710811828E-3</v>
      </c>
      <c r="C139">
        <f>(Prices!C139/Prices!C140)-1</f>
        <v>-1.8126284539849213E-2</v>
      </c>
      <c r="D139">
        <f>(Prices!D139/Prices!D140)-1</f>
        <v>2.8192839018892357E-4</v>
      </c>
      <c r="E139">
        <f>(Prices!E139/Prices!E140)-1</f>
        <v>-1.7035775127768327E-3</v>
      </c>
      <c r="F139">
        <f>(Prices!F139/Prices!F140)-1</f>
        <v>-8.6621143146181634E-3</v>
      </c>
      <c r="G139">
        <f>(Prices!G139/Prices!G140)-1</f>
        <v>-3.282897091061443E-6</v>
      </c>
    </row>
    <row r="140" spans="1:7" x14ac:dyDescent="0.3">
      <c r="A140" s="1">
        <v>45832</v>
      </c>
      <c r="B140">
        <f>(Prices!B140/Prices!B141)-1</f>
        <v>2.0422816114878284E-2</v>
      </c>
      <c r="C140">
        <f>(Prices!C140/Prices!C141)-1</f>
        <v>2.2921715770724438E-2</v>
      </c>
      <c r="D140">
        <f>(Prices!D140/Prices!D141)-1</f>
        <v>-3.0432801822323441E-2</v>
      </c>
      <c r="E140">
        <f>(Prices!E140/Prices!E141)-1</f>
        <v>1.1632916846187058E-2</v>
      </c>
      <c r="F140">
        <f>(Prices!F140/Prices!F141)-1</f>
        <v>-4.2183466599510222E-3</v>
      </c>
      <c r="G140">
        <f>(Prices!G140/Prices!G141)-1</f>
        <v>1.1121677894565751E-2</v>
      </c>
    </row>
    <row r="141" spans="1:7" x14ac:dyDescent="0.3">
      <c r="A141" s="1">
        <v>45831</v>
      </c>
      <c r="B141">
        <f>(Prices!B141/Prices!B142)-1</f>
        <v>1.7947052135780295E-2</v>
      </c>
      <c r="C141">
        <f>(Prices!C141/Prices!C142)-1</f>
        <v>1.5297500815273812E-2</v>
      </c>
      <c r="D141">
        <f>(Prices!D141/Prices!D142)-1</f>
        <v>-2.5829930765133957E-2</v>
      </c>
      <c r="E141">
        <f>(Prices!E141/Prices!E142)-1</f>
        <v>2.1588946459412117E-3</v>
      </c>
      <c r="F141">
        <f>(Prices!F141/Prices!F142)-1</f>
        <v>1.2300828553218679E-2</v>
      </c>
      <c r="G141">
        <f>(Prices!G141/Prices!G142)-1</f>
        <v>9.6064907906379116E-3</v>
      </c>
    </row>
    <row r="142" spans="1:7" x14ac:dyDescent="0.3">
      <c r="A142" s="1">
        <v>45828</v>
      </c>
      <c r="B142">
        <f>(Prices!B142/Prices!B143)-1</f>
        <v>7.4449807739507268E-3</v>
      </c>
      <c r="C142">
        <f>(Prices!C142/Prices!C143)-1</f>
        <v>-5.308012149450092E-3</v>
      </c>
      <c r="D142">
        <f>(Prices!D142/Prices!D143)-1</f>
        <v>1.3402896464873582E-2</v>
      </c>
      <c r="E142">
        <f>(Prices!E142/Prices!E143)-1</f>
        <v>3.9011703511053764E-3</v>
      </c>
      <c r="F142">
        <f>(Prices!F142/Prices!F143)-1</f>
        <v>6.6726549467470697E-3</v>
      </c>
      <c r="G142">
        <f>(Prices!G142/Prices!G143)-1</f>
        <v>-2.1786128105107938E-3</v>
      </c>
    </row>
    <row r="143" spans="1:7" x14ac:dyDescent="0.3">
      <c r="A143" s="1">
        <v>45826</v>
      </c>
      <c r="B143">
        <f>(Prices!B143/Prices!B144)-1</f>
        <v>1.3107233554519038E-3</v>
      </c>
      <c r="C143">
        <f>(Prices!C143/Prices!C144)-1</f>
        <v>-4.8806485091582252E-2</v>
      </c>
      <c r="D143">
        <f>(Prices!D143/Prices!D144)-1</f>
        <v>-7.1447709207823618E-3</v>
      </c>
      <c r="E143">
        <f>(Prices!E143/Prices!E144)-1</f>
        <v>-4.7454702329594589E-3</v>
      </c>
      <c r="F143">
        <f>(Prices!F143/Prices!F144)-1</f>
        <v>-3.1339942436838797E-3</v>
      </c>
      <c r="G143">
        <f>(Prices!G143/Prices!G144)-1</f>
        <v>-3.0922389816012696E-4</v>
      </c>
    </row>
    <row r="144" spans="1:7" x14ac:dyDescent="0.3">
      <c r="A144" s="1">
        <v>45825</v>
      </c>
      <c r="B144">
        <f>(Prices!B144/Prices!B145)-1</f>
        <v>-3.8354822914967723E-3</v>
      </c>
      <c r="C144">
        <f>(Prices!C144/Prices!C145)-1</f>
        <v>6.6638430043766128E-3</v>
      </c>
      <c r="D144">
        <f>(Prices!D144/Prices!D145)-1</f>
        <v>1.3486603910209949E-2</v>
      </c>
      <c r="E144">
        <f>(Prices!E144/Prices!E145)-1</f>
        <v>-1.6546457361052203E-2</v>
      </c>
      <c r="F144">
        <f>(Prices!F144/Prices!F145)-1</f>
        <v>-1.4683640030249689E-2</v>
      </c>
      <c r="G144">
        <f>(Prices!G144/Prices!G145)-1</f>
        <v>-8.3522428730786746E-3</v>
      </c>
    </row>
    <row r="145" spans="1:7" x14ac:dyDescent="0.3">
      <c r="A145" s="1">
        <v>45824</v>
      </c>
      <c r="B145">
        <f>(Prices!B145/Prices!B146)-1</f>
        <v>1.0972692022110486E-2</v>
      </c>
      <c r="C145">
        <f>(Prices!C145/Prices!C146)-1</f>
        <v>7.4531334452252462E-3</v>
      </c>
      <c r="D145">
        <f>(Prices!D145/Prices!D146)-1</f>
        <v>3.2691609153649992E-3</v>
      </c>
      <c r="E145">
        <f>(Prices!E145/Prices!E146)-1</f>
        <v>-5.9046815689582921E-3</v>
      </c>
      <c r="F145">
        <f>(Prices!F145/Prices!F146)-1</f>
        <v>3.7320513631475816E-3</v>
      </c>
      <c r="G145">
        <f>(Prices!G145/Prices!G146)-1</f>
        <v>9.3927190532994143E-3</v>
      </c>
    </row>
    <row r="146" spans="1:7" x14ac:dyDescent="0.3">
      <c r="A146" s="1">
        <v>45821</v>
      </c>
      <c r="B146">
        <f>(Prices!B146/Prices!B147)-1</f>
        <v>-2.3868312757202581E-3</v>
      </c>
      <c r="C146">
        <f>(Prices!C146/Prices!C147)-1</f>
        <v>-4.9944596091997528E-2</v>
      </c>
      <c r="D146">
        <f>(Prices!D146/Prices!D147)-1</f>
        <v>2.171089255891645E-2</v>
      </c>
      <c r="E146">
        <f>(Prices!E146/Prices!E147)-1</f>
        <v>-1.2083333333333335E-2</v>
      </c>
      <c r="F146">
        <f>(Prices!F146/Prices!F147)-1</f>
        <v>-1.776949363156255E-2</v>
      </c>
      <c r="G146">
        <f>(Prices!G146/Prices!G147)-1</f>
        <v>-1.1296453750541779E-2</v>
      </c>
    </row>
    <row r="147" spans="1:7" x14ac:dyDescent="0.3">
      <c r="A147" s="1">
        <v>45820</v>
      </c>
      <c r="B147">
        <f>(Prices!B147/Prices!B148)-1</f>
        <v>-4.0167226821870017E-3</v>
      </c>
      <c r="C147">
        <f>(Prices!C147/Prices!C148)-1</f>
        <v>-5.1355130135514182E-3</v>
      </c>
      <c r="D147">
        <f>(Prices!D147/Prices!D148)-1</f>
        <v>3.9120715350222657E-3</v>
      </c>
      <c r="E147">
        <f>(Prices!E147/Prices!E148)-1</f>
        <v>1.4799154334038223E-2</v>
      </c>
      <c r="F147">
        <f>(Prices!F147/Prices!F148)-1</f>
        <v>6.6295578210020523E-3</v>
      </c>
      <c r="G147">
        <f>(Prices!G147/Prices!G148)-1</f>
        <v>3.8224979409655635E-3</v>
      </c>
    </row>
    <row r="148" spans="1:7" x14ac:dyDescent="0.3">
      <c r="A148" s="1">
        <v>45819</v>
      </c>
      <c r="B148">
        <f>(Prices!B148/Prices!B149)-1</f>
        <v>1.3542705217680195E-2</v>
      </c>
      <c r="C148">
        <f>(Prices!C148/Prices!C149)-1</f>
        <v>7.0399653417092534E-3</v>
      </c>
      <c r="D148">
        <f>(Prices!D148/Prices!D149)-1</f>
        <v>1.9466337479821405E-2</v>
      </c>
      <c r="E148">
        <f>(Prices!E148/Prices!E149)-1</f>
        <v>7.669365146996121E-3</v>
      </c>
      <c r="F148">
        <f>(Prices!F148/Prices!F149)-1</f>
        <v>-4.4829089097816466E-3</v>
      </c>
      <c r="G148">
        <f>(Prices!G148/Prices!G149)-1</f>
        <v>-2.7439180898224391E-3</v>
      </c>
    </row>
    <row r="149" spans="1:7" x14ac:dyDescent="0.3">
      <c r="A149" s="1">
        <v>45818</v>
      </c>
      <c r="B149">
        <f>(Prices!B149/Prices!B150)-1</f>
        <v>-1.7068191098407515E-2</v>
      </c>
      <c r="C149">
        <f>(Prices!C149/Prices!C150)-1</f>
        <v>1.1032330477155128E-2</v>
      </c>
      <c r="D149">
        <f>(Prices!D149/Prices!D150)-1</f>
        <v>2.1435499515034095E-2</v>
      </c>
      <c r="E149">
        <f>(Prices!E149/Prices!E150)-1</f>
        <v>1.3385146804835824E-2</v>
      </c>
      <c r="F149">
        <f>(Prices!F149/Prices!F150)-1</f>
        <v>1.7463980540135537E-3</v>
      </c>
      <c r="G149">
        <f>(Prices!G149/Prices!G150)-1</f>
        <v>5.4829600325014827E-3</v>
      </c>
    </row>
    <row r="150" spans="1:7" x14ac:dyDescent="0.3">
      <c r="A150" s="1">
        <v>45817</v>
      </c>
      <c r="B150">
        <f>(Prices!B150/Prices!B151)-1</f>
        <v>-1.3693113169553017E-2</v>
      </c>
      <c r="C150">
        <f>(Prices!C150/Prices!C151)-1</f>
        <v>-9.6247695477712503E-3</v>
      </c>
      <c r="D150">
        <f>(Prices!D150/Prices!D151)-1</f>
        <v>6.7376232789766455E-3</v>
      </c>
      <c r="E150">
        <f>(Prices!E150/Prices!E151)-1</f>
        <v>2.659574468085113E-2</v>
      </c>
      <c r="F150">
        <f>(Prices!F150/Prices!F151)-1</f>
        <v>-8.901526859120934E-3</v>
      </c>
      <c r="G150">
        <f>(Prices!G150/Prices!G151)-1</f>
        <v>9.1994480331192285E-4</v>
      </c>
    </row>
    <row r="151" spans="1:7" x14ac:dyDescent="0.3">
      <c r="A151" s="1">
        <v>45814</v>
      </c>
      <c r="B151">
        <f>(Prices!B151/Prices!B152)-1</f>
        <v>-7.1971211515393652E-3</v>
      </c>
      <c r="C151">
        <f>(Prices!C151/Prices!C152)-1</f>
        <v>9.4143404488231663E-3</v>
      </c>
      <c r="D151">
        <f>(Prices!D151/Prices!D152)-1</f>
        <v>2.389522095580876E-2</v>
      </c>
      <c r="E151">
        <f>(Prices!E151/Prices!E152)-1</f>
        <v>1.0300044782803441E-2</v>
      </c>
      <c r="F151">
        <f>(Prices!F151/Prices!F152)-1</f>
        <v>7.4733760976521957E-3</v>
      </c>
      <c r="G151">
        <f>(Prices!G151/Prices!G152)-1</f>
        <v>1.0280672806559643E-2</v>
      </c>
    </row>
    <row r="152" spans="1:7" x14ac:dyDescent="0.3">
      <c r="A152" s="1">
        <v>45813</v>
      </c>
      <c r="B152">
        <f>(Prices!B152/Prices!B153)-1</f>
        <v>8.711785109300596E-3</v>
      </c>
      <c r="C152">
        <f>(Prices!C152/Prices!C153)-1</f>
        <v>-3.3548809426398041E-3</v>
      </c>
      <c r="D152">
        <f>(Prices!D152/Prices!D153)-1</f>
        <v>-4.5780254777071372E-3</v>
      </c>
      <c r="E152">
        <f>(Prices!E152/Prices!E153)-1</f>
        <v>-1.194690265486742E-2</v>
      </c>
      <c r="F152">
        <f>(Prices!F152/Prices!F153)-1</f>
        <v>-1.9000488758553313E-2</v>
      </c>
      <c r="G152">
        <f>(Prices!G152/Prices!G153)-1</f>
        <v>-5.2773409302925289E-3</v>
      </c>
    </row>
    <row r="153" spans="1:7" x14ac:dyDescent="0.3">
      <c r="A153" s="1">
        <v>45812</v>
      </c>
      <c r="B153">
        <f>(Prices!B153/Prices!B154)-1</f>
        <v>1.7899663354955297E-2</v>
      </c>
      <c r="C153">
        <f>(Prices!C153/Prices!C154)-1</f>
        <v>5.8436213991770458E-3</v>
      </c>
      <c r="D153">
        <f>(Prices!D153/Prices!D154)-1</f>
        <v>-1.4418832761157407E-2</v>
      </c>
      <c r="E153">
        <f>(Prices!E153/Prices!E154)-1</f>
        <v>1.7730496453902678E-3</v>
      </c>
      <c r="F153">
        <f>(Prices!F153/Prices!F154)-1</f>
        <v>-5.408033055842365E-3</v>
      </c>
      <c r="G153">
        <f>(Prices!G153/Prices!G154)-1</f>
        <v>7.3697275043249633E-5</v>
      </c>
    </row>
    <row r="154" spans="1:7" x14ac:dyDescent="0.3">
      <c r="A154" s="1">
        <v>45811</v>
      </c>
      <c r="B154">
        <f>(Prices!B154/Prices!B155)-1</f>
        <v>-9.0237899917966491E-4</v>
      </c>
      <c r="C154">
        <f>(Prices!C154/Prices!C155)-1</f>
        <v>1.4836795252226587E-3</v>
      </c>
      <c r="D154">
        <f>(Prices!D154/Prices!D155)-1</f>
        <v>7.3115304811779414E-3</v>
      </c>
      <c r="E154">
        <f>(Prices!E154/Prices!E155)-1</f>
        <v>-4.4130626654899086E-3</v>
      </c>
      <c r="F154">
        <f>(Prices!F154/Prices!F155)-1</f>
        <v>-5.4991539763112884E-3</v>
      </c>
      <c r="G154">
        <f>(Prices!G154/Prices!G155)-1</f>
        <v>5.8002607843070653E-3</v>
      </c>
    </row>
    <row r="155" spans="1:7" x14ac:dyDescent="0.3">
      <c r="A155" s="1">
        <v>45810</v>
      </c>
      <c r="B155">
        <f>(Prices!B155/Prices!B156)-1</f>
        <v>9.7746852220013114E-3</v>
      </c>
      <c r="C155">
        <f>(Prices!C155/Prices!C156)-1</f>
        <v>3.5730973256731247E-4</v>
      </c>
      <c r="D155">
        <f>(Prices!D155/Prices!D156)-1</f>
        <v>7.2651273885349088E-3</v>
      </c>
      <c r="E155">
        <f>(Prices!E155/Prices!E156)-1</f>
        <v>-1.3221683561041031E-3</v>
      </c>
      <c r="F155">
        <f>(Prices!F155/Prices!F156)-1</f>
        <v>-1.2413463833850669E-2</v>
      </c>
      <c r="G155">
        <f>(Prices!G155/Prices!G156)-1</f>
        <v>4.1020418864994301E-3</v>
      </c>
    </row>
    <row r="156" spans="1:7" x14ac:dyDescent="0.3">
      <c r="A156" s="1">
        <v>45807</v>
      </c>
      <c r="B156">
        <f>(Prices!B156/Prices!B157)-1</f>
        <v>1.8820153599459877E-2</v>
      </c>
      <c r="C156">
        <f>(Prices!C156/Prices!C157)-1</f>
        <v>7.6997645755434441E-3</v>
      </c>
      <c r="D156">
        <f>(Prices!D156/Prices!D157)-1</f>
        <v>-3.7675986515962601E-3</v>
      </c>
      <c r="E156">
        <f>(Prices!E156/Prices!E157)-1</f>
        <v>1.7660044150111798E-3</v>
      </c>
      <c r="F156">
        <f>(Prices!F156/Prices!F157)-1</f>
        <v>7.8796992481202643E-3</v>
      </c>
      <c r="G156">
        <f>(Prices!G156/Prices!G157)-1</f>
        <v>-8.118846379590039E-5</v>
      </c>
    </row>
    <row r="157" spans="1:7" x14ac:dyDescent="0.3">
      <c r="A157" s="1">
        <v>45806</v>
      </c>
      <c r="B157">
        <f>(Prices!B157/Prices!B158)-1</f>
        <v>-1.9609465497269607E-2</v>
      </c>
      <c r="C157">
        <f>(Prices!C157/Prices!C158)-1</f>
        <v>7.4220820893440287E-3</v>
      </c>
      <c r="D157">
        <f>(Prices!D157/Prices!D158)-1</f>
        <v>5.6835177983847185E-3</v>
      </c>
      <c r="E157">
        <f>(Prices!E157/Prices!E158)-1</f>
        <v>1.1612326931665917E-2</v>
      </c>
      <c r="F157">
        <f>(Prices!F157/Prices!F158)-1</f>
        <v>7.14848246198585E-3</v>
      </c>
      <c r="G157">
        <f>(Prices!G157/Prices!G158)-1</f>
        <v>4.0111742279509421E-3</v>
      </c>
    </row>
    <row r="158" spans="1:7" x14ac:dyDescent="0.3">
      <c r="A158" s="1">
        <v>45805</v>
      </c>
      <c r="B158">
        <f>(Prices!B158/Prices!B159)-1</f>
        <v>-2.4760647078243547E-3</v>
      </c>
      <c r="C158">
        <f>(Prices!C158/Prices!C159)-1</f>
        <v>1.2012515364845378E-3</v>
      </c>
      <c r="D158">
        <f>(Prices!D158/Prices!D159)-1</f>
        <v>-1.367033831628639E-2</v>
      </c>
      <c r="E158">
        <f>(Prices!E158/Prices!E159)-1</f>
        <v>-1.8412976764576872E-2</v>
      </c>
      <c r="F158">
        <f>(Prices!F158/Prices!F159)-1</f>
        <v>-2.3570651516984231E-3</v>
      </c>
      <c r="G158">
        <f>(Prices!G158/Prices!G159)-1</f>
        <v>-5.571185873944895E-3</v>
      </c>
    </row>
    <row r="159" spans="1:7" x14ac:dyDescent="0.3">
      <c r="A159" s="1">
        <v>45804</v>
      </c>
      <c r="B159">
        <f>(Prices!B159/Prices!B160)-1</f>
        <v>2.2102243968280755E-2</v>
      </c>
      <c r="C159">
        <f>(Prices!C159/Prices!C160)-1</f>
        <v>1.6296632786326537E-2</v>
      </c>
      <c r="D159">
        <f>(Prices!D159/Prices!D160)-1</f>
        <v>4.8423757288269531E-3</v>
      </c>
      <c r="E159">
        <f>(Prices!E159/Prices!E160)-1</f>
        <v>1.2427873945849877E-2</v>
      </c>
      <c r="F159">
        <f>(Prices!F159/Prices!F160)-1</f>
        <v>1.1431016565804697E-2</v>
      </c>
      <c r="G159">
        <f>(Prices!G159/Prices!G160)-1</f>
        <v>2.0459018201495205E-2</v>
      </c>
    </row>
    <row r="160" spans="1:7" x14ac:dyDescent="0.3">
      <c r="A160" s="1">
        <v>45800</v>
      </c>
      <c r="B160">
        <f>(Prices!B160/Prices!B161)-1</f>
        <v>-2.1885521885520731E-3</v>
      </c>
      <c r="C160">
        <f>(Prices!C160/Prices!C161)-1</f>
        <v>-1.2365757227378427E-2</v>
      </c>
      <c r="D160">
        <f>(Prices!D160/Prices!D161)-1</f>
        <v>4.9436424757764996E-4</v>
      </c>
      <c r="E160">
        <f>(Prices!E160/Prices!E161)-1</f>
        <v>1.2129380053908401E-2</v>
      </c>
      <c r="F160">
        <f>(Prices!F160/Prices!F161)-1</f>
        <v>5.0377833753147971E-3</v>
      </c>
      <c r="G160">
        <f>(Prices!G160/Prices!G161)-1</f>
        <v>-6.708307585916562E-3</v>
      </c>
    </row>
    <row r="161" spans="1:7" x14ac:dyDescent="0.3">
      <c r="A161" s="1">
        <v>45799</v>
      </c>
      <c r="B161">
        <f>(Prices!B161/Prices!B162)-1</f>
        <v>-5.5248618784530246E-3</v>
      </c>
      <c r="C161">
        <f>(Prices!C161/Prices!C162)-1</f>
        <v>-9.2447333034506585E-4</v>
      </c>
      <c r="D161">
        <f>(Prices!D161/Prices!D162)-1</f>
        <v>-6.5808859640507089E-3</v>
      </c>
      <c r="E161">
        <f>(Prices!E161/Prices!E162)-1</f>
        <v>0</v>
      </c>
      <c r="F161">
        <f>(Prices!F161/Prices!F162)-1</f>
        <v>-2.451431022859496E-3</v>
      </c>
      <c r="G161">
        <f>(Prices!G161/Prices!G162)-1</f>
        <v>-4.4485431876539749E-4</v>
      </c>
    </row>
    <row r="162" spans="1:7" x14ac:dyDescent="0.3">
      <c r="A162" s="1">
        <v>45798</v>
      </c>
      <c r="B162">
        <f>(Prices!B162/Prices!B163)-1</f>
        <v>2.1812080536911527E-3</v>
      </c>
      <c r="C162">
        <f>(Prices!C162/Prices!C163)-1</f>
        <v>-2.3285084959093871E-2</v>
      </c>
      <c r="D162">
        <f>(Prices!D162/Prices!D163)-1</f>
        <v>-1.2320527745440346E-2</v>
      </c>
      <c r="E162">
        <f>(Prices!E162/Prices!E163)-1</f>
        <v>-2.0246478873239271E-2</v>
      </c>
      <c r="F162">
        <f>(Prices!F162/Prices!F163)-1</f>
        <v>-1.2242149721491957E-3</v>
      </c>
      <c r="G162">
        <f>(Prices!G162/Prices!G163)-1</f>
        <v>-1.6135114115741978E-2</v>
      </c>
    </row>
    <row r="163" spans="1:7" x14ac:dyDescent="0.3">
      <c r="A163" s="1">
        <v>45797</v>
      </c>
      <c r="B163">
        <f>(Prices!B163/Prices!B164)-1</f>
        <v>3.3568311513931803E-4</v>
      </c>
      <c r="C163">
        <f>(Prices!C163/Prices!C164)-1</f>
        <v>-2.8919870133411463E-3</v>
      </c>
      <c r="D163">
        <f>(Prices!D163/Prices!D164)-1</f>
        <v>-1.424882853590892E-2</v>
      </c>
      <c r="E163">
        <f>(Prices!E163/Prices!E164)-1</f>
        <v>2.2502250225022502E-2</v>
      </c>
      <c r="F163">
        <f>(Prices!F163/Prices!F164)-1</f>
        <v>5.2919820318750865E-3</v>
      </c>
      <c r="G163">
        <f>(Prices!G163/Prices!G164)-1</f>
        <v>-3.8802065866255786E-3</v>
      </c>
    </row>
    <row r="164" spans="1:7" x14ac:dyDescent="0.3">
      <c r="A164" s="1">
        <v>45796</v>
      </c>
      <c r="B164">
        <f>(Prices!B164/Prices!B165)-1</f>
        <v>8.3927822073004421E-5</v>
      </c>
      <c r="C164">
        <f>(Prices!C164/Prices!C165)-1</f>
        <v>7.6149109302836582E-3</v>
      </c>
      <c r="D164">
        <f>(Prices!D164/Prices!D165)-1</f>
        <v>-1.5904385469602933E-2</v>
      </c>
      <c r="E164">
        <f>(Prices!E164/Prices!E165)-1</f>
        <v>7.7097505668932698E-3</v>
      </c>
      <c r="F164">
        <f>(Prices!F164/Prices!F165)-1</f>
        <v>9.1281669150522493E-3</v>
      </c>
      <c r="G164">
        <f>(Prices!G164/Prices!G165)-1</f>
        <v>8.76077054501323E-4</v>
      </c>
    </row>
    <row r="165" spans="1:7" x14ac:dyDescent="0.3">
      <c r="A165" s="1">
        <v>45793</v>
      </c>
      <c r="B165">
        <f>(Prices!B165/Prices!B166)-1</f>
        <v>1.1460101867572181E-2</v>
      </c>
      <c r="C165">
        <f>(Prices!C165/Prices!C166)-1</f>
        <v>7.7850117744839853E-3</v>
      </c>
      <c r="D165">
        <f>(Prices!D165/Prices!D166)-1</f>
        <v>-3.6568213783403358E-3</v>
      </c>
      <c r="E165">
        <f>(Prices!E165/Prices!E166)-1</f>
        <v>1.0077874484654359E-2</v>
      </c>
      <c r="F165">
        <f>(Prices!F165/Prices!F166)-1</f>
        <v>5.3061988888194467E-3</v>
      </c>
      <c r="G165">
        <f>(Prices!G165/Prices!G166)-1</f>
        <v>7.0053220166539365E-3</v>
      </c>
    </row>
    <row r="166" spans="1:7" x14ac:dyDescent="0.3">
      <c r="A166" s="1">
        <v>45792</v>
      </c>
      <c r="B166">
        <f>(Prices!B166/Prices!B167)-1</f>
        <v>2.3457862728062606E-2</v>
      </c>
      <c r="C166">
        <f>(Prices!C166/Prices!C167)-1</f>
        <v>1.638836482414896E-2</v>
      </c>
      <c r="D166">
        <f>(Prices!D166/Prices!D167)-1</f>
        <v>1.0134495169539681E-2</v>
      </c>
      <c r="E166">
        <f>(Prices!E166/Prices!E167)-1</f>
        <v>2.6328161730136301E-2</v>
      </c>
      <c r="F166">
        <f>(Prices!F166/Prices!F167)-1</f>
        <v>2.7781342230206452E-2</v>
      </c>
      <c r="G166">
        <f>(Prices!G166/Prices!G167)-1</f>
        <v>4.1323155561741043E-3</v>
      </c>
    </row>
    <row r="167" spans="1:7" x14ac:dyDescent="0.3">
      <c r="A167" s="1">
        <v>45791</v>
      </c>
      <c r="B167">
        <f>(Prices!B167/Prices!B168)-1</f>
        <v>1.1068165846802369E-2</v>
      </c>
      <c r="C167">
        <f>(Prices!C167/Prices!C168)-1</f>
        <v>9.0189115301142486E-4</v>
      </c>
      <c r="D167">
        <f>(Prices!D167/Prices!D168)-1</f>
        <v>-8.9176757720830224E-3</v>
      </c>
      <c r="E167">
        <f>(Prices!E167/Prices!E168)-1</f>
        <v>-3.7120869171570869E-2</v>
      </c>
      <c r="F167">
        <f>(Prices!F167/Prices!F168)-1</f>
        <v>-4.4711292795094337E-3</v>
      </c>
      <c r="G167">
        <f>(Prices!G167/Prices!G168)-1</f>
        <v>1.024369112638146E-3</v>
      </c>
    </row>
    <row r="168" spans="1:7" x14ac:dyDescent="0.3">
      <c r="A168" s="1">
        <v>45790</v>
      </c>
      <c r="B168">
        <f>(Prices!B168/Prices!B169)-1</f>
        <v>2.5585585585585546E-2</v>
      </c>
      <c r="C168">
        <f>(Prices!C168/Prices!C169)-1</f>
        <v>2.4863673607775638E-3</v>
      </c>
      <c r="D168">
        <f>(Prices!D168/Prices!D169)-1</f>
        <v>2.7296686746989263E-3</v>
      </c>
      <c r="E168">
        <f>(Prices!E168/Prices!E169)-1</f>
        <v>-9.8610488570147758E-3</v>
      </c>
      <c r="F168">
        <f>(Prices!F168/Prices!F169)-1</f>
        <v>-1.3484562066792605E-2</v>
      </c>
      <c r="G168">
        <f>(Prices!G168/Prices!G169)-1</f>
        <v>7.2482243048224149E-3</v>
      </c>
    </row>
    <row r="169" spans="1:7" x14ac:dyDescent="0.3">
      <c r="A169" s="1">
        <v>45789</v>
      </c>
      <c r="B169">
        <f>(Prices!B169/Prices!B170)-1</f>
        <v>-2.6486581301526035E-2</v>
      </c>
      <c r="C169">
        <f>(Prices!C169/Prices!C170)-1</f>
        <v>9.3828428017339593E-3</v>
      </c>
      <c r="D169">
        <f>(Prices!D169/Prices!D170)-1</f>
        <v>1.7234775947912562E-2</v>
      </c>
      <c r="E169">
        <f>(Prices!E169/Prices!E170)-1</f>
        <v>3.67100371747211E-2</v>
      </c>
      <c r="F169">
        <f>(Prices!F169/Prices!F170)-1</f>
        <v>2.0578778135048159E-2</v>
      </c>
      <c r="G169">
        <f>(Prices!G169/Prices!G170)-1</f>
        <v>3.2558821606703869E-2</v>
      </c>
    </row>
    <row r="170" spans="1:7" x14ac:dyDescent="0.3">
      <c r="A170" s="1">
        <v>45786</v>
      </c>
      <c r="B170">
        <f>(Prices!B170/Prices!B171)-1</f>
        <v>-3.6700454386577874E-3</v>
      </c>
      <c r="C170">
        <f>(Prices!C170/Prices!C171)-1</f>
        <v>3.606388459556964E-3</v>
      </c>
      <c r="D170">
        <f>(Prices!D170/Prices!D171)-1</f>
        <v>1.1721398818173023E-2</v>
      </c>
      <c r="E170">
        <f>(Prices!E170/Prices!E171)-1</f>
        <v>-1.1483693155718844E-2</v>
      </c>
      <c r="F170">
        <f>(Prices!F170/Prices!F171)-1</f>
        <v>-6.2627811860940241E-3</v>
      </c>
      <c r="G170">
        <f>(Prices!G170/Prices!G171)-1</f>
        <v>-7.1151883671083382E-4</v>
      </c>
    </row>
    <row r="171" spans="1:7" x14ac:dyDescent="0.3">
      <c r="A171" s="1">
        <v>45785</v>
      </c>
      <c r="B171">
        <f>(Prices!B171/Prices!B172)-1</f>
        <v>-9.5205123766661792E-3</v>
      </c>
      <c r="C171">
        <f>(Prices!C171/Prices!C172)-1</f>
        <v>4.0520734546081183E-3</v>
      </c>
      <c r="D171">
        <f>(Prices!D171/Prices!D172)-1</f>
        <v>1.3947549356644773E-2</v>
      </c>
      <c r="E171">
        <f>(Prices!E171/Prices!E172)-1</f>
        <v>7.8703703703701944E-3</v>
      </c>
      <c r="F171">
        <f>(Prices!F171/Prices!F172)-1</f>
        <v>-4.0099293488640164E-3</v>
      </c>
      <c r="G171">
        <f>(Prices!G171/Prices!G172)-1</f>
        <v>5.7997471267632328E-3</v>
      </c>
    </row>
    <row r="172" spans="1:7" x14ac:dyDescent="0.3">
      <c r="A172" s="1">
        <v>45784</v>
      </c>
      <c r="B172">
        <f>(Prices!B172/Prices!B173)-1</f>
        <v>1.5557704139931516E-2</v>
      </c>
      <c r="C172">
        <f>(Prices!C172/Prices!C173)-1</f>
        <v>6.1880114507129047E-3</v>
      </c>
      <c r="D172">
        <f>(Prices!D172/Prices!D173)-1</f>
        <v>-9.8125797272097248E-4</v>
      </c>
      <c r="E172">
        <f>(Prices!E172/Prices!E173)-1</f>
        <v>-4.1493775933609811E-3</v>
      </c>
      <c r="F172">
        <f>(Prices!F172/Prices!F173)-1</f>
        <v>2.5466352581671181E-4</v>
      </c>
      <c r="G172">
        <f>(Prices!G172/Prices!G173)-1</f>
        <v>4.3464225393308187E-3</v>
      </c>
    </row>
    <row r="173" spans="1:7" x14ac:dyDescent="0.3">
      <c r="A173" s="1">
        <v>45783</v>
      </c>
      <c r="B173">
        <f>(Prices!B173/Prices!B174)-1</f>
        <v>3.1743232519179099E-3</v>
      </c>
      <c r="C173">
        <f>(Prices!C173/Prices!C174)-1</f>
        <v>-2.6819702387819166E-3</v>
      </c>
      <c r="D173">
        <f>(Prices!D173/Prices!D174)-1</f>
        <v>1.3928962292309111E-2</v>
      </c>
      <c r="E173">
        <f>(Prices!E173/Prices!E174)-1</f>
        <v>-4.1537781705700327E-2</v>
      </c>
      <c r="F173">
        <f>(Prices!F173/Prices!F174)-1</f>
        <v>2.6171326439423659E-3</v>
      </c>
      <c r="G173">
        <f>(Prices!G173/Prices!G174)-1</f>
        <v>-7.6932878850626274E-3</v>
      </c>
    </row>
    <row r="174" spans="1:7" x14ac:dyDescent="0.3">
      <c r="A174" s="1">
        <v>45782</v>
      </c>
      <c r="B174">
        <f>(Prices!B174/Prices!B175)-1</f>
        <v>-1.9368785127540034E-2</v>
      </c>
      <c r="C174">
        <f>(Prices!C174/Prices!C175)-1</f>
        <v>2.9792034246376442E-3</v>
      </c>
      <c r="D174">
        <f>(Prices!D174/Prices!D175)-1</f>
        <v>-2.7667601818709531E-2</v>
      </c>
      <c r="E174">
        <f>(Prices!E174/Prices!E175)-1</f>
        <v>-1.3513513513513598E-2</v>
      </c>
      <c r="F174">
        <f>(Prices!F174/Prices!F175)-1</f>
        <v>-1.0485093481556351E-2</v>
      </c>
      <c r="G174">
        <f>(Prices!G174/Prices!G175)-1</f>
        <v>-6.3815906321273985E-3</v>
      </c>
    </row>
    <row r="175" spans="1:7" x14ac:dyDescent="0.3">
      <c r="A175" s="1">
        <v>45779</v>
      </c>
      <c r="B175">
        <f>(Prices!B175/Prices!B176)-1</f>
        <v>2.029113365681523E-2</v>
      </c>
      <c r="C175">
        <f>(Prices!C175/Prices!C176)-1</f>
        <v>1.5031854613781093E-2</v>
      </c>
      <c r="D175">
        <f>(Prices!D175/Prices!D176)-1</f>
        <v>4.0796503156872443E-3</v>
      </c>
      <c r="E175">
        <f>(Prices!E175/Prices!E176)-1</f>
        <v>1.1463844797178213E-2</v>
      </c>
      <c r="F175">
        <f>(Prices!F175/Prices!F176)-1</f>
        <v>3.35889473350659E-3</v>
      </c>
      <c r="G175">
        <f>(Prices!G175/Prices!G176)-1</f>
        <v>1.4726612825518126E-2</v>
      </c>
    </row>
    <row r="176" spans="1:7" x14ac:dyDescent="0.3">
      <c r="A176" s="1">
        <v>45778</v>
      </c>
      <c r="B176">
        <f>(Prices!B176/Prices!B177)-1</f>
        <v>1.5905275249623596E-3</v>
      </c>
      <c r="C176">
        <f>(Prices!C176/Prices!C177)-1</f>
        <v>-8.8173670119892078E-3</v>
      </c>
      <c r="D176">
        <f>(Prices!D176/Prices!D177)-1</f>
        <v>1.4591439688715901E-3</v>
      </c>
      <c r="E176">
        <f>(Prices!E176/Prices!E177)-1</f>
        <v>-1.9878997407087318E-2</v>
      </c>
      <c r="F176">
        <f>(Prices!F176/Prices!F177)-1</f>
        <v>-1.5903704627666326E-2</v>
      </c>
      <c r="G176">
        <f>(Prices!G176/Prices!G177)-1</f>
        <v>6.2990881764606321E-3</v>
      </c>
    </row>
    <row r="177" spans="1:7" x14ac:dyDescent="0.3">
      <c r="A177" s="1">
        <v>45777</v>
      </c>
      <c r="B177">
        <f>(Prices!B177/Prices!B178)-1</f>
        <v>5.419331911869163E-3</v>
      </c>
      <c r="C177">
        <f>(Prices!C177/Prices!C178)-1</f>
        <v>1.1658031088082943E-2</v>
      </c>
      <c r="D177">
        <f>(Prices!D177/Prices!D178)-1</f>
        <v>-2.52228333017257E-2</v>
      </c>
      <c r="E177">
        <f>(Prices!E177/Prices!E178)-1</f>
        <v>2.6164079822616371E-2</v>
      </c>
      <c r="F177">
        <f>(Prices!F177/Prices!F178)-1</f>
        <v>1.8745313671582053E-3</v>
      </c>
      <c r="G177">
        <f>(Prices!G177/Prices!G178)-1</f>
        <v>1.4799948928487794E-3</v>
      </c>
    </row>
    <row r="178" spans="1:7" x14ac:dyDescent="0.3">
      <c r="A178" s="1">
        <v>45776</v>
      </c>
      <c r="B178">
        <f>(Prices!B178/Prices!B179)-1</f>
        <v>1.36887608069165E-2</v>
      </c>
      <c r="C178">
        <f>(Prices!C178/Prices!C179)-1</f>
        <v>1.1885966218832866E-2</v>
      </c>
      <c r="D178">
        <f>(Prices!D178/Prices!D179)-1</f>
        <v>-2.4593265228907146E-3</v>
      </c>
      <c r="E178">
        <f>(Prices!E178/Prices!E179)-1</f>
        <v>3.203661327231111E-2</v>
      </c>
      <c r="F178">
        <f>(Prices!F178/Prices!F179)-1</f>
        <v>2.5684395163816376E-3</v>
      </c>
      <c r="G178">
        <f>(Prices!G178/Prices!G179)-1</f>
        <v>5.8023965634184105E-3</v>
      </c>
    </row>
    <row r="179" spans="1:7" x14ac:dyDescent="0.3">
      <c r="A179" s="1">
        <v>45775</v>
      </c>
      <c r="B179">
        <f>(Prices!B179/Prices!B180)-1</f>
        <v>8.0798910576487248E-3</v>
      </c>
      <c r="C179">
        <f>(Prices!C179/Prices!C180)-1</f>
        <v>6.9592344842066556E-3</v>
      </c>
      <c r="D179">
        <f>(Prices!D179/Prices!D180)-1</f>
        <v>5.6785917092572191E-4</v>
      </c>
      <c r="E179">
        <f>(Prices!E179/Prices!E180)-1</f>
        <v>5.5223193741371635E-3</v>
      </c>
      <c r="F179">
        <f>(Prices!F179/Prices!F180)-1</f>
        <v>5.1001133358519191E-3</v>
      </c>
      <c r="G179">
        <f>(Prices!G179/Prices!G180)-1</f>
        <v>6.4069962951629478E-4</v>
      </c>
    </row>
    <row r="180" spans="1:7" x14ac:dyDescent="0.3">
      <c r="A180" s="1">
        <v>45772</v>
      </c>
      <c r="B180">
        <f>(Prices!B180/Prices!B181)-1</f>
        <v>4.1936366122710123E-3</v>
      </c>
      <c r="C180">
        <f>(Prices!C180/Prices!C181)-1</f>
        <v>-1.5873015873014706E-3</v>
      </c>
      <c r="D180">
        <f>(Prices!D180/Prices!D181)-1</f>
        <v>-5.6753688989785722E-4</v>
      </c>
      <c r="E180">
        <f>(Prices!E180/Prices!E181)-1</f>
        <v>6.4844835572024362E-3</v>
      </c>
      <c r="F180">
        <f>(Prices!F180/Prices!F181)-1</f>
        <v>9.3422306959007884E-3</v>
      </c>
      <c r="G180">
        <f>(Prices!G180/Prices!G181)-1</f>
        <v>7.3731441792452834E-3</v>
      </c>
    </row>
    <row r="181" spans="1:7" x14ac:dyDescent="0.3">
      <c r="A181" s="1">
        <v>45771</v>
      </c>
      <c r="B181">
        <f>(Prices!B181/Prices!B182)-1</f>
        <v>4.5064786585365946E-2</v>
      </c>
      <c r="C181">
        <f>(Prices!C181/Prices!C182)-1</f>
        <v>3.9991580719846986E-3</v>
      </c>
      <c r="D181">
        <f>(Prices!D181/Prices!D182)-1</f>
        <v>1.1674641148325282E-2</v>
      </c>
      <c r="E181">
        <f>(Prices!E181/Prices!E182)-1</f>
        <v>1.7436380772855919E-2</v>
      </c>
      <c r="F181">
        <f>(Prices!F181/Prices!F182)-1</f>
        <v>-3.7496941521898641E-2</v>
      </c>
      <c r="G181">
        <f>(Prices!G181/Prices!G182)-1</f>
        <v>2.025908412793509E-2</v>
      </c>
    </row>
    <row r="182" spans="1:7" x14ac:dyDescent="0.3">
      <c r="A182" s="1">
        <v>45770</v>
      </c>
      <c r="B182">
        <f>(Prices!B182/Prices!B183)-1</f>
        <v>8.9397289243486888E-3</v>
      </c>
      <c r="C182">
        <f>(Prices!C182/Prices!C183)-1</f>
        <v>8.9496996541471585E-3</v>
      </c>
      <c r="D182">
        <f>(Prices!D182/Prices!D183)-1</f>
        <v>-8.5388994307400434E-3</v>
      </c>
      <c r="E182">
        <f>(Prices!E182/Prices!E183)-1</f>
        <v>-6.5543071161049404E-3</v>
      </c>
      <c r="F182">
        <f>(Prices!F182/Prices!F183)-1</f>
        <v>-1.268269114627385E-2</v>
      </c>
      <c r="G182">
        <f>(Prices!G182/Prices!G183)-1</f>
        <v>1.6661119264111734E-2</v>
      </c>
    </row>
    <row r="183" spans="1:7" x14ac:dyDescent="0.3">
      <c r="A183" s="1">
        <v>45769</v>
      </c>
      <c r="B183">
        <f>(Prices!B183/Prices!B184)-1</f>
        <v>5.3041805850794654E-2</v>
      </c>
      <c r="C183">
        <f>(Prices!C183/Prices!C184)-1</f>
        <v>3.5303725108361217E-2</v>
      </c>
      <c r="D183">
        <f>(Prices!D183/Prices!D184)-1</f>
        <v>2.7991807275919323E-2</v>
      </c>
      <c r="E183">
        <f>(Prices!E183/Prices!E184)-1</f>
        <v>2.2498803255145861E-2</v>
      </c>
      <c r="F183">
        <f>(Prices!F183/Prices!F184)-1</f>
        <v>1.2845608025446653E-2</v>
      </c>
      <c r="G183">
        <f>(Prices!G183/Prices!G184)-1</f>
        <v>2.511728897677501E-2</v>
      </c>
    </row>
    <row r="184" spans="1:7" x14ac:dyDescent="0.3">
      <c r="A184" s="1">
        <v>45768</v>
      </c>
      <c r="B184">
        <f>(Prices!B184/Prices!B185)-1</f>
        <v>1.531346351490237E-2</v>
      </c>
      <c r="C184">
        <f>(Prices!C184/Prices!C185)-1</f>
        <v>-2.885553928745721E-2</v>
      </c>
      <c r="D184">
        <f>(Prices!D184/Prices!D185)-1</f>
        <v>-1.4703055929271569E-2</v>
      </c>
      <c r="E184">
        <f>(Prices!E184/Prices!E185)-1</f>
        <v>-4.7641734159122873E-3</v>
      </c>
      <c r="F184">
        <f>(Prices!F184/Prices!F185)-1</f>
        <v>-2.2541106128550092E-2</v>
      </c>
      <c r="G184">
        <f>(Prices!G184/Prices!G185)-1</f>
        <v>-2.3567493895167213E-2</v>
      </c>
    </row>
    <row r="185" spans="1:7" x14ac:dyDescent="0.3">
      <c r="A185" s="1">
        <v>45764</v>
      </c>
      <c r="B185">
        <f>(Prices!B185/Prices!B186)-1</f>
        <v>1.1855241264559169E-2</v>
      </c>
      <c r="C185">
        <f>(Prices!C185/Prices!C186)-1</f>
        <v>-5.1888939462905181E-3</v>
      </c>
      <c r="D185">
        <f>(Prices!D185/Prices!D186)-1</f>
        <v>2.6232741617356892E-2</v>
      </c>
      <c r="E185">
        <f>(Prices!E185/Prices!E186)-1</f>
        <v>4.7869794159884904E-3</v>
      </c>
      <c r="F185">
        <f>(Prices!F185/Prices!F186)-1</f>
        <v>2.5444512568976174E-2</v>
      </c>
      <c r="G185">
        <f>(Prices!G185/Prices!G186)-1</f>
        <v>1.3268381447011368E-3</v>
      </c>
    </row>
    <row r="186" spans="1:7" x14ac:dyDescent="0.3">
      <c r="A186" s="1">
        <v>45763</v>
      </c>
      <c r="B186">
        <f>(Prices!B186/Prices!B187)-1</f>
        <v>-1.5056847280549013E-2</v>
      </c>
      <c r="C186">
        <f>(Prices!C186/Prices!C187)-1</f>
        <v>-1.3323353293413165E-2</v>
      </c>
      <c r="D186">
        <f>(Prices!D186/Prices!D187)-1</f>
        <v>1.0564082120789298E-2</v>
      </c>
      <c r="E186">
        <f>(Prices!E186/Prices!E187)-1</f>
        <v>-1.7865538316878204E-2</v>
      </c>
      <c r="F186">
        <f>(Prices!F186/Prices!F187)-1</f>
        <v>-1.2293344637558268E-2</v>
      </c>
      <c r="G186">
        <f>(Prices!G186/Prices!G187)-1</f>
        <v>-2.2408428964001637E-2</v>
      </c>
    </row>
    <row r="187" spans="1:7" x14ac:dyDescent="0.3">
      <c r="A187" s="1">
        <v>45762</v>
      </c>
      <c r="B187">
        <f>(Prices!B187/Prices!B188)-1</f>
        <v>4.831955331257376E-2</v>
      </c>
      <c r="C187">
        <f>(Prices!C187/Prices!C188)-1</f>
        <v>1.8597396364508079E-3</v>
      </c>
      <c r="D187">
        <f>(Prices!D187/Prices!D188)-1</f>
        <v>-2.782746968793437E-3</v>
      </c>
      <c r="E187">
        <f>(Prices!E187/Prices!E188)-1</f>
        <v>1.4306151645207432E-2</v>
      </c>
      <c r="F187">
        <f>(Prices!F187/Prices!F188)-1</f>
        <v>-3.9208589697189433E-3</v>
      </c>
      <c r="G187">
        <f>(Prices!G187/Prices!G188)-1</f>
        <v>-1.7277195396940837E-3</v>
      </c>
    </row>
    <row r="188" spans="1:7" x14ac:dyDescent="0.3">
      <c r="A188" s="1">
        <v>45761</v>
      </c>
      <c r="B188">
        <f>(Prices!B188/Prices!B189)-1</f>
        <v>1.4156593705760612E-2</v>
      </c>
      <c r="C188">
        <f>(Prices!C188/Prices!C189)-1</f>
        <v>5.3375953680527832E-3</v>
      </c>
      <c r="D188">
        <f>(Prices!D188/Prices!D189)-1</f>
        <v>2.3909145248057762E-3</v>
      </c>
      <c r="E188">
        <f>(Prices!E188/Prices!E189)-1</f>
        <v>9.6292729898892482E-3</v>
      </c>
      <c r="F188">
        <f>(Prices!F188/Prices!F189)-1</f>
        <v>1.3263247967728153E-2</v>
      </c>
      <c r="G188">
        <f>(Prices!G188/Prices!G189)-1</f>
        <v>7.9446466394201831E-3</v>
      </c>
    </row>
    <row r="189" spans="1:7" x14ac:dyDescent="0.3">
      <c r="A189" s="1">
        <v>45758</v>
      </c>
      <c r="B189">
        <f>(Prices!B189/Prices!B190)-1</f>
        <v>-3.148067737733462E-3</v>
      </c>
      <c r="C189">
        <f>(Prices!C189/Prices!C190)-1</f>
        <v>2.7101530074955082E-2</v>
      </c>
      <c r="D189">
        <f>(Prices!D189/Prices!D190)-1</f>
        <v>3.2185089974293035E-2</v>
      </c>
      <c r="E189">
        <f>(Prices!E189/Prices!E190)-1</f>
        <v>1.4655593551538892E-2</v>
      </c>
      <c r="F189">
        <f>(Prices!F189/Prices!F190)-1</f>
        <v>2.0521457085828532E-2</v>
      </c>
      <c r="G189">
        <f>(Prices!G189/Prices!G190)-1</f>
        <v>1.8092083408471682E-2</v>
      </c>
    </row>
    <row r="190" spans="1:7" x14ac:dyDescent="0.3">
      <c r="A190" s="1">
        <v>45757</v>
      </c>
      <c r="B190">
        <f>(Prices!B190/Prices!B191)-1</f>
        <v>-2.5700687466948646E-2</v>
      </c>
      <c r="C190">
        <f>(Prices!C190/Prices!C191)-1</f>
        <v>-2.3530123397048075E-2</v>
      </c>
      <c r="D190">
        <f>(Prices!D190/Prices!D191)-1</f>
        <v>-5.5550160240846802E-2</v>
      </c>
      <c r="E190">
        <f>(Prices!E190/Prices!E191)-1</f>
        <v>-3.9868667917448475E-2</v>
      </c>
      <c r="F190">
        <f>(Prices!F190/Prices!F191)-1</f>
        <v>7.604801709508946E-3</v>
      </c>
      <c r="G190">
        <f>(Prices!G190/Prices!G191)-1</f>
        <v>-3.4607561069471604E-2</v>
      </c>
    </row>
    <row r="191" spans="1:7" x14ac:dyDescent="0.3">
      <c r="A191" s="1">
        <v>45756</v>
      </c>
      <c r="B191">
        <f>(Prices!B191/Prices!B192)-1</f>
        <v>8.6282169117646967E-2</v>
      </c>
      <c r="C191">
        <f>(Prices!C191/Prices!C192)-1</f>
        <v>7.8373177652392156E-2</v>
      </c>
      <c r="D191">
        <f>(Prices!D191/Prices!D192)-1</f>
        <v>4.9964311206281309E-2</v>
      </c>
      <c r="E191">
        <f>(Prices!E191/Prices!E192)-1</f>
        <v>2.9951690821256038E-2</v>
      </c>
      <c r="F191">
        <f>(Prices!F191/Prices!F192)-1</f>
        <v>2.4863123993558833E-2</v>
      </c>
      <c r="G191">
        <f>(Prices!G191/Prices!G192)-1</f>
        <v>9.5153900340573472E-2</v>
      </c>
    </row>
    <row r="192" spans="1:7" x14ac:dyDescent="0.3">
      <c r="A192" s="1">
        <v>45755</v>
      </c>
      <c r="B192">
        <f>(Prices!B192/Prices!B193)-1</f>
        <v>2.99608204655466E-3</v>
      </c>
      <c r="C192">
        <f>(Prices!C192/Prices!C193)-1</f>
        <v>-1.2973216585114522E-2</v>
      </c>
      <c r="D192">
        <f>(Prices!D192/Prices!D193)-1</f>
        <v>-2.1062088241166066E-2</v>
      </c>
      <c r="E192">
        <f>(Prices!E192/Prices!E193)-1</f>
        <v>-3.4965034965035002E-2</v>
      </c>
      <c r="F192">
        <f>(Prices!F192/Prices!F193)-1</f>
        <v>-1.1524258245256602E-2</v>
      </c>
      <c r="G192">
        <f>(Prices!G192/Prices!G193)-1</f>
        <v>-1.5700528421156545E-2</v>
      </c>
    </row>
    <row r="193" spans="1:7" x14ac:dyDescent="0.3">
      <c r="A193" s="1">
        <v>45754</v>
      </c>
      <c r="B193">
        <f>(Prices!B193/Prices!B194)-1</f>
        <v>1.3903493398761402E-2</v>
      </c>
      <c r="C193">
        <f>(Prices!C193/Prices!C194)-1</f>
        <v>-2.5687130747495956E-3</v>
      </c>
      <c r="D193">
        <f>(Prices!D193/Prices!D194)-1</f>
        <v>-1.3490891186607512E-2</v>
      </c>
      <c r="E193">
        <f>(Prices!E193/Prices!E194)-1</f>
        <v>-1.4699127239320209E-2</v>
      </c>
      <c r="F193">
        <f>(Prices!F193/Prices!F194)-1</f>
        <v>-2.1493987913525525E-2</v>
      </c>
      <c r="G193">
        <f>(Prices!G193/Prices!G194)-1</f>
        <v>-2.3314571311449095E-3</v>
      </c>
    </row>
    <row r="194" spans="1:7" x14ac:dyDescent="0.3">
      <c r="A194" s="1">
        <v>45751</v>
      </c>
      <c r="B194">
        <f>(Prices!B194/Prices!B195)-1</f>
        <v>-6.6732090284592593E-2</v>
      </c>
      <c r="C194">
        <f>(Prices!C194/Prices!C195)-1</f>
        <v>-7.737883635501841E-2</v>
      </c>
      <c r="D194">
        <f>(Prices!D194/Prices!D195)-1</f>
        <v>-7.1924693840248577E-2</v>
      </c>
      <c r="E194">
        <f>(Prices!E194/Prices!E195)-1</f>
        <v>-5.4711246200607966E-2</v>
      </c>
      <c r="F194">
        <f>(Prices!F194/Prices!F195)-1</f>
        <v>-5.0124275062137569E-2</v>
      </c>
      <c r="G194">
        <f>(Prices!G194/Prices!G195)-1</f>
        <v>-5.9749616419470408E-2</v>
      </c>
    </row>
    <row r="195" spans="1:7" x14ac:dyDescent="0.3">
      <c r="A195" s="1">
        <v>45750</v>
      </c>
      <c r="B195">
        <f>(Prices!B195/Prices!B196)-1</f>
        <v>-1.966862640299305E-2</v>
      </c>
      <c r="C195">
        <f>(Prices!C195/Prices!C196)-1</f>
        <v>-2.0059802014689265E-2</v>
      </c>
      <c r="D195">
        <f>(Prices!D195/Prices!D196)-1</f>
        <v>-5.2558663087713176E-2</v>
      </c>
      <c r="E195">
        <f>(Prices!E195/Prices!E196)-1</f>
        <v>-1.6232379325074708E-2</v>
      </c>
      <c r="F195">
        <f>(Prices!F195/Prices!F196)-1</f>
        <v>1.7094017094017033E-2</v>
      </c>
      <c r="G195">
        <f>(Prices!G195/Prices!G196)-1</f>
        <v>-4.839560075260485E-2</v>
      </c>
    </row>
    <row r="196" spans="1:7" x14ac:dyDescent="0.3">
      <c r="A196" s="1">
        <v>45749</v>
      </c>
      <c r="B196">
        <f>(Prices!B196/Prices!B197)-1</f>
        <v>7.6475657044376977E-3</v>
      </c>
      <c r="C196">
        <f>(Prices!C196/Prices!C197)-1</f>
        <v>-5.8056837644038239E-5</v>
      </c>
      <c r="D196">
        <f>(Prices!D196/Prices!D197)-1</f>
        <v>-3.1074665515753441E-3</v>
      </c>
      <c r="E196">
        <f>(Prices!E196/Prices!E197)-1</f>
        <v>6.4488392089423474E-3</v>
      </c>
      <c r="F196">
        <f>(Prices!F196/Prices!F197)-1</f>
        <v>-6.2208398133749565E-3</v>
      </c>
      <c r="G196">
        <f>(Prices!G196/Prices!G197)-1</f>
        <v>6.7281251608803938E-3</v>
      </c>
    </row>
    <row r="197" spans="1:7" x14ac:dyDescent="0.3">
      <c r="A197" s="1">
        <v>45748</v>
      </c>
      <c r="B197">
        <f>(Prices!B197/Prices!B198)-1</f>
        <v>-4.3967828418229882E-3</v>
      </c>
      <c r="C197">
        <f>(Prices!C197/Prices!C198)-1</f>
        <v>-1.1704966003958983E-2</v>
      </c>
      <c r="D197">
        <f>(Prices!D197/Prices!D198)-1</f>
        <v>8.6393088552916275E-4</v>
      </c>
      <c r="E197">
        <f>(Prices!E197/Prices!E198)-1</f>
        <v>-3.1640299750208101E-2</v>
      </c>
      <c r="F197">
        <f>(Prices!F197/Prices!F198)-1</f>
        <v>7.7821011673151474E-4</v>
      </c>
      <c r="G197">
        <f>(Prices!G197/Prices!G198)-1</f>
        <v>3.7812842467277452E-3</v>
      </c>
    </row>
    <row r="198" spans="1:7" x14ac:dyDescent="0.3">
      <c r="A198" s="1">
        <v>45747</v>
      </c>
      <c r="B198">
        <f>(Prices!B198/Prices!B199)-1</f>
        <v>-1.499089838312484E-3</v>
      </c>
      <c r="C198">
        <f>(Prices!C198/Prices!C199)-1</f>
        <v>2.2199413489736086E-2</v>
      </c>
      <c r="D198">
        <f>(Prices!D198/Prices!D199)-1</f>
        <v>1.0211206144178808E-2</v>
      </c>
      <c r="E198">
        <f>(Prices!E198/Prices!E199)-1</f>
        <v>5.0209205020921299E-3</v>
      </c>
      <c r="F198">
        <f>(Prices!F198/Prices!F199)-1</f>
        <v>1.4268366727383297E-2</v>
      </c>
      <c r="G198">
        <f>(Prices!G198/Prices!G199)-1</f>
        <v>5.5384935154294546E-3</v>
      </c>
    </row>
    <row r="199" spans="1:7" x14ac:dyDescent="0.3">
      <c r="A199" s="1">
        <v>45744</v>
      </c>
      <c r="B199">
        <f>(Prices!B199/Prices!B200)-1</f>
        <v>-4.3821029998976191E-2</v>
      </c>
      <c r="C199">
        <f>(Prices!C199/Prices!C200)-1</f>
        <v>-2.0058624058854058E-2</v>
      </c>
      <c r="D199">
        <f>(Prices!D199/Prices!D200)-1</f>
        <v>-1.3074174148000051E-3</v>
      </c>
      <c r="E199">
        <f>(Prices!E199/Prices!E200)-1</f>
        <v>8.0134964150146981E-3</v>
      </c>
      <c r="F199">
        <f>(Prices!F199/Prices!F200)-1</f>
        <v>-4.0515208320736074E-3</v>
      </c>
      <c r="G199">
        <f>(Prices!G199/Prices!G200)-1</f>
        <v>-1.9737200328104554E-2</v>
      </c>
    </row>
    <row r="200" spans="1:7" x14ac:dyDescent="0.3">
      <c r="A200" s="1">
        <v>45743</v>
      </c>
      <c r="B200">
        <f>(Prices!B200/Prices!B201)-1</f>
        <v>6.1811064180488096E-3</v>
      </c>
      <c r="C200">
        <f>(Prices!C200/Prices!C201)-1</f>
        <v>1.6504542400607614E-2</v>
      </c>
      <c r="D200">
        <f>(Prices!D200/Prices!D201)-1</f>
        <v>-3.2145960034751786E-3</v>
      </c>
      <c r="E200">
        <f>(Prices!E200/Prices!E201)-1</f>
        <v>-7.9497907949790392E-3</v>
      </c>
      <c r="F200">
        <f>(Prices!F200/Prices!F201)-1</f>
        <v>1.280009799118087E-2</v>
      </c>
      <c r="G200">
        <f>(Prices!G200/Prices!G201)-1</f>
        <v>-3.3069570393192693E-3</v>
      </c>
    </row>
    <row r="201" spans="1:7" x14ac:dyDescent="0.3">
      <c r="A201" s="1">
        <v>45742</v>
      </c>
      <c r="B201">
        <f>(Prices!B201/Prices!B202)-1</f>
        <v>-2.667201443898537E-2</v>
      </c>
      <c r="C201">
        <f>(Prices!C201/Prices!C202)-1</f>
        <v>-1.2836595968142017E-3</v>
      </c>
      <c r="D201">
        <f>(Prices!D201/Prices!D202)-1</f>
        <v>1.4365030404512202E-2</v>
      </c>
      <c r="E201">
        <f>(Prices!E201/Prices!E202)-1</f>
        <v>-1.3212221304706895E-2</v>
      </c>
      <c r="F201">
        <f>(Prices!F201/Prices!F202)-1</f>
        <v>2.2865376182421793E-2</v>
      </c>
      <c r="G201">
        <f>(Prices!G201/Prices!G202)-1</f>
        <v>-1.115698545004451E-2</v>
      </c>
    </row>
    <row r="202" spans="1:7" x14ac:dyDescent="0.3">
      <c r="A202" s="1">
        <v>45741</v>
      </c>
      <c r="B202">
        <f>(Prices!B202/Prices!B203)-1</f>
        <v>2.602880658436213E-2</v>
      </c>
      <c r="C202">
        <f>(Prices!C202/Prices!C203)-1</f>
        <v>2.1928542190514655E-3</v>
      </c>
      <c r="D202">
        <f>(Prices!D202/Prices!D203)-1</f>
        <v>6.8322981366459867E-3</v>
      </c>
      <c r="E202">
        <f>(Prices!E202/Prices!E203)-1</f>
        <v>-2.25988700564973E-2</v>
      </c>
      <c r="F202">
        <f>(Prices!F202/Prices!F203)-1</f>
        <v>-1.6875038492332406E-2</v>
      </c>
      <c r="G202">
        <f>(Prices!G202/Prices!G203)-1</f>
        <v>1.5743198608773046E-3</v>
      </c>
    </row>
    <row r="203" spans="1:7" x14ac:dyDescent="0.3">
      <c r="A203" s="1">
        <v>45740</v>
      </c>
      <c r="B203">
        <f>(Prices!B203/Prices!B204)-1</f>
        <v>1.2183692596063667E-2</v>
      </c>
      <c r="C203">
        <f>(Prices!C203/Prices!C204)-1</f>
        <v>2.4472068294143945E-2</v>
      </c>
      <c r="D203">
        <f>(Prices!D203/Prices!D204)-1</f>
        <v>2.5798416510987021E-3</v>
      </c>
      <c r="E203">
        <f>(Prices!E203/Prices!E204)-1</f>
        <v>-5.218787635487665E-3</v>
      </c>
      <c r="F203">
        <f>(Prices!F203/Prices!F204)-1</f>
        <v>-6.2427321133483593E-3</v>
      </c>
      <c r="G203">
        <f>(Prices!G203/Prices!G204)-1</f>
        <v>1.7646041682840563E-2</v>
      </c>
    </row>
    <row r="204" spans="1:7" x14ac:dyDescent="0.3">
      <c r="A204" s="1">
        <v>45737</v>
      </c>
      <c r="B204">
        <f>(Prices!B204/Prices!B205)-1</f>
        <v>9.9915860328145811E-3</v>
      </c>
      <c r="C204">
        <f>(Prices!C204/Prices!C205)-1</f>
        <v>-1.1312820209079866E-2</v>
      </c>
      <c r="D204">
        <f>(Prices!D204/Prices!D205)-1</f>
        <v>-3.457446808510678E-3</v>
      </c>
      <c r="E204">
        <f>(Prices!E204/Prices!E205)-1</f>
        <v>3.2219089810714419E-3</v>
      </c>
      <c r="F204">
        <f>(Prices!F204/Prices!F205)-1</f>
        <v>-5.11477805516658E-3</v>
      </c>
      <c r="G204">
        <f>(Prices!G204/Prices!G205)-1</f>
        <v>8.2466726353502828E-4</v>
      </c>
    </row>
    <row r="205" spans="1:7" x14ac:dyDescent="0.3">
      <c r="A205" s="1">
        <v>45736</v>
      </c>
      <c r="B205">
        <f>(Prices!B205/Prices!B206)-1</f>
        <v>-9.0672225117248706E-3</v>
      </c>
      <c r="C205">
        <f>(Prices!C205/Prices!C206)-1</f>
        <v>-1.0945450242575427E-3</v>
      </c>
      <c r="D205">
        <f>(Prices!D205/Prices!D206)-1</f>
        <v>4.2735042735042583E-3</v>
      </c>
      <c r="E205">
        <f>(Prices!E205/Prices!E206)-1</f>
        <v>-8.0482897384315244E-4</v>
      </c>
      <c r="F205">
        <f>(Prices!F205/Prices!F206)-1</f>
        <v>-6.0521697028385057E-3</v>
      </c>
      <c r="G205">
        <f>(Prices!G205/Prices!G206)-1</f>
        <v>-2.1849103746239829E-3</v>
      </c>
    </row>
    <row r="206" spans="1:7" x14ac:dyDescent="0.3">
      <c r="A206" s="1">
        <v>45735</v>
      </c>
      <c r="B206">
        <f>(Prices!B206/Prices!B207)-1</f>
        <v>3.1720430107526898E-2</v>
      </c>
      <c r="C206">
        <f>(Prices!C206/Prices!C207)-1</f>
        <v>1.5226596990719932E-2</v>
      </c>
      <c r="D206">
        <f>(Prices!D206/Prices!D207)-1</f>
        <v>1.5551537070524368E-2</v>
      </c>
      <c r="E206">
        <f>(Prices!E206/Prices!E207)-1</f>
        <v>-3.6086607858861752E-3</v>
      </c>
      <c r="F206">
        <f>(Prices!F206/Prices!F207)-1</f>
        <v>5.1097998661719934E-3</v>
      </c>
      <c r="G206">
        <f>(Prices!G206/Prices!G207)-1</f>
        <v>1.0798516740105457E-2</v>
      </c>
    </row>
    <row r="207" spans="1:7" x14ac:dyDescent="0.3">
      <c r="A207" s="1">
        <v>45734</v>
      </c>
      <c r="B207">
        <f>(Prices!B207/Prices!B208)-1</f>
        <v>-2.1052631578947323E-2</v>
      </c>
      <c r="C207">
        <f>(Prices!C207/Prices!C208)-1</f>
        <v>6.6115702479341287E-4</v>
      </c>
      <c r="D207">
        <f>(Prices!D207/Prices!D208)-1</f>
        <v>-9.9358684852313139E-4</v>
      </c>
      <c r="E207">
        <f>(Prices!E207/Prices!E208)-1</f>
        <v>1.0125556905629773E-2</v>
      </c>
      <c r="F207">
        <f>(Prices!F207/Prices!F208)-1</f>
        <v>-1.2079326923077005E-2</v>
      </c>
      <c r="G207">
        <f>(Prices!G207/Prices!G208)-1</f>
        <v>-1.0653519220738983E-2</v>
      </c>
    </row>
    <row r="208" spans="1:7" x14ac:dyDescent="0.3">
      <c r="A208" s="1">
        <v>45733</v>
      </c>
      <c r="B208">
        <f>(Prices!B208/Prices!B209)-1</f>
        <v>3.4858387799564294E-2</v>
      </c>
      <c r="C208">
        <f>(Prices!C208/Prices!C209)-1</f>
        <v>8.3027787036755729E-3</v>
      </c>
      <c r="D208">
        <f>(Prices!D208/Prices!D209)-1</f>
        <v>1.6620752984389142E-2</v>
      </c>
      <c r="E208">
        <f>(Prices!E208/Prices!E209)-1</f>
        <v>1.2715340442986056E-2</v>
      </c>
      <c r="F208">
        <f>(Prices!F208/Prices!F209)-1</f>
        <v>1.0689990281827155E-2</v>
      </c>
      <c r="G208">
        <f>(Prices!G208/Prices!G209)-1</f>
        <v>6.4160994796895743E-3</v>
      </c>
    </row>
    <row r="209" spans="1:7" x14ac:dyDescent="0.3">
      <c r="A209" s="1">
        <v>45730</v>
      </c>
      <c r="B209">
        <f>(Prices!B209/Prices!B210)-1</f>
        <v>3.1228937317456795E-2</v>
      </c>
      <c r="C209">
        <f>(Prices!C209/Prices!C210)-1</f>
        <v>9.884325846134967E-3</v>
      </c>
      <c r="D209">
        <f>(Prices!D209/Prices!D210)-1</f>
        <v>2.9689863842662589E-2</v>
      </c>
      <c r="E209">
        <f>(Prices!E209/Prices!E210)-1</f>
        <v>4.5323444581788497E-3</v>
      </c>
      <c r="F209">
        <f>(Prices!F209/Prices!F210)-1</f>
        <v>-3.691376701966842E-3</v>
      </c>
      <c r="G209">
        <f>(Prices!G209/Prices!G210)-1</f>
        <v>2.1265883307494793E-2</v>
      </c>
    </row>
    <row r="210" spans="1:7" x14ac:dyDescent="0.3">
      <c r="A210" s="1">
        <v>45729</v>
      </c>
      <c r="B210">
        <f>(Prices!B210/Prices!B211)-1</f>
        <v>-3.2075676851147095E-2</v>
      </c>
      <c r="C210">
        <f>(Prices!C210/Prices!C211)-1</f>
        <v>-1.2898353723002631E-2</v>
      </c>
      <c r="D210">
        <f>(Prices!D210/Prices!D211)-1</f>
        <v>-4.2368891818095333E-3</v>
      </c>
      <c r="E210">
        <f>(Prices!E210/Prices!E211)-1</f>
        <v>-4.103405826836326E-3</v>
      </c>
      <c r="F210">
        <f>(Prices!F210/Prices!F211)-1</f>
        <v>1.2724188075619036E-3</v>
      </c>
      <c r="G210">
        <f>(Prices!G210/Prices!G211)-1</f>
        <v>-1.3891022092047178E-2</v>
      </c>
    </row>
    <row r="211" spans="1:7" x14ac:dyDescent="0.3">
      <c r="A211" s="1">
        <v>45728</v>
      </c>
      <c r="B211">
        <f>(Prices!B211/Prices!B212)-1</f>
        <v>2.7482962797452659E-2</v>
      </c>
      <c r="C211">
        <f>(Prices!C211/Prices!C212)-1</f>
        <v>2.1189647343726747E-3</v>
      </c>
      <c r="D211">
        <f>(Prices!D211/Prices!D212)-1</f>
        <v>-2.8237951807230655E-4</v>
      </c>
      <c r="E211">
        <f>(Prices!E211/Prices!E212)-1</f>
        <v>-1.0957792207792139E-2</v>
      </c>
      <c r="F211">
        <f>(Prices!F211/Prices!F212)-1</f>
        <v>-2.740291119099536E-2</v>
      </c>
      <c r="G211">
        <f>(Prices!G211/Prices!G212)-1</f>
        <v>4.8868732804865367E-3</v>
      </c>
    </row>
    <row r="212" spans="1:7" x14ac:dyDescent="0.3">
      <c r="A212" s="1">
        <v>45727</v>
      </c>
      <c r="B212">
        <f>(Prices!B212/Prices!B213)-1</f>
        <v>3.2767970462674656E-2</v>
      </c>
      <c r="C212">
        <f>(Prices!C212/Prices!C213)-1</f>
        <v>-2.7352490872688651E-2</v>
      </c>
      <c r="D212">
        <f>(Prices!D212/Prices!D213)-1</f>
        <v>-2.3619152651410791E-2</v>
      </c>
      <c r="E212">
        <f>(Prices!E212/Prices!E213)-1</f>
        <v>-2.415841584158418E-2</v>
      </c>
      <c r="F212">
        <f>(Prices!F212/Prices!F213)-1</f>
        <v>-1.7827169068704074E-2</v>
      </c>
      <c r="G212">
        <f>(Prices!G212/Prices!G213)-1</f>
        <v>-7.5678236584880709E-3</v>
      </c>
    </row>
    <row r="213" spans="1:7" x14ac:dyDescent="0.3">
      <c r="A213" s="1">
        <v>45726</v>
      </c>
      <c r="B213">
        <f>(Prices!B213/Prices!B214)-1</f>
        <v>-2.7381887554707607E-2</v>
      </c>
      <c r="C213">
        <f>(Prices!C213/Prices!C214)-1</f>
        <v>-1.1122110289407794E-2</v>
      </c>
      <c r="D213">
        <f>(Prices!D213/Prices!D214)-1</f>
        <v>2.554194156456191E-2</v>
      </c>
      <c r="E213">
        <f>(Prices!E213/Prices!E214)-1</f>
        <v>-3.5516969218626349E-3</v>
      </c>
      <c r="F213">
        <f>(Prices!F213/Prices!F214)-1</f>
        <v>1.7394329448601198E-3</v>
      </c>
      <c r="G213">
        <f>(Prices!G213/Prices!G214)-1</f>
        <v>-2.6973068524487775E-2</v>
      </c>
    </row>
    <row r="214" spans="1:7" x14ac:dyDescent="0.3">
      <c r="A214" s="1">
        <v>45723</v>
      </c>
      <c r="B214">
        <f>(Prices!B214/Prices!B215)-1</f>
        <v>-1.6879964695498684E-2</v>
      </c>
      <c r="C214">
        <f>(Prices!C214/Prices!C215)-1</f>
        <v>3.3595279132949685E-3</v>
      </c>
      <c r="D214">
        <f>(Prices!D214/Prices!D215)-1</f>
        <v>1.2984533129654308E-2</v>
      </c>
      <c r="E214">
        <f>(Prices!E214/Prices!E215)-1</f>
        <v>1.8898271009248013E-2</v>
      </c>
      <c r="F214">
        <f>(Prices!F214/Prices!F215)-1</f>
        <v>7.4182242990654679E-3</v>
      </c>
      <c r="G214">
        <f>(Prices!G214/Prices!G215)-1</f>
        <v>5.5205871897281433E-3</v>
      </c>
    </row>
    <row r="215" spans="1:7" x14ac:dyDescent="0.3">
      <c r="A215" s="1">
        <v>45722</v>
      </c>
      <c r="B215">
        <f>(Prices!B215/Prices!B216)-1</f>
        <v>-8.5276011706529431E-2</v>
      </c>
      <c r="C215">
        <f>(Prices!C215/Prices!C216)-1</f>
        <v>-2.4146188494212795E-2</v>
      </c>
      <c r="D215">
        <f>(Prices!D215/Prices!D216)-1</f>
        <v>2.0658740986162494E-2</v>
      </c>
      <c r="E215">
        <f>(Prices!E215/Prices!E216)-1</f>
        <v>1.138674257828387E-2</v>
      </c>
      <c r="F215">
        <f>(Prices!F215/Prices!F216)-1</f>
        <v>2.9214139643585213E-4</v>
      </c>
      <c r="G215">
        <f>(Prices!G215/Prices!G216)-1</f>
        <v>-1.7819030128555013E-2</v>
      </c>
    </row>
    <row r="216" spans="1:7" x14ac:dyDescent="0.3">
      <c r="A216" s="1">
        <v>45721</v>
      </c>
      <c r="B216">
        <f>(Prices!B216/Prices!B217)-1</f>
        <v>1.8815545959284474E-2</v>
      </c>
      <c r="C216">
        <f>(Prices!C216/Prices!C217)-1</f>
        <v>1.2845031827133369E-3</v>
      </c>
      <c r="D216">
        <f>(Prices!D216/Prices!D217)-1</f>
        <v>-1.9491687368622168E-2</v>
      </c>
      <c r="E216">
        <f>(Prices!E216/Prices!E217)-1</f>
        <v>7.3740270380990847E-3</v>
      </c>
      <c r="F216">
        <f>(Prices!F216/Prices!F217)-1</f>
        <v>8.2474226804123418E-3</v>
      </c>
      <c r="G216">
        <f>(Prices!G216/Prices!G217)-1</f>
        <v>1.1159281084776262E-2</v>
      </c>
    </row>
    <row r="217" spans="1:7" x14ac:dyDescent="0.3">
      <c r="A217" s="1">
        <v>45720</v>
      </c>
      <c r="B217">
        <f>(Prices!B217/Prices!B218)-1</f>
        <v>-1.1297114100852212E-3</v>
      </c>
      <c r="C217">
        <f>(Prices!C217/Prices!C218)-1</f>
        <v>-2.6509572901325495E-2</v>
      </c>
      <c r="D217">
        <f>(Prices!D217/Prices!D218)-1</f>
        <v>-2.0024792600362717E-3</v>
      </c>
      <c r="E217">
        <f>(Prices!E217/Prices!E218)-1</f>
        <v>-1.8890675241157506E-2</v>
      </c>
      <c r="F217">
        <f>(Prices!F217/Prices!F218)-1</f>
        <v>-1.3712160827377917E-2</v>
      </c>
      <c r="G217">
        <f>(Prices!G217/Prices!G218)-1</f>
        <v>-1.2234773630190987E-2</v>
      </c>
    </row>
    <row r="218" spans="1:7" x14ac:dyDescent="0.3">
      <c r="A218" s="1">
        <v>45719</v>
      </c>
      <c r="B218">
        <f>(Prices!B218/Prices!B219)-1</f>
        <v>-7.0365082602488194E-3</v>
      </c>
      <c r="C218">
        <f>(Prices!C218/Prices!C219)-1</f>
        <v>-2.4670140813837227E-3</v>
      </c>
      <c r="D218">
        <f>(Prices!D218/Prices!D219)-1</f>
        <v>-3.2118135671435066E-2</v>
      </c>
      <c r="E218">
        <f>(Prices!E218/Prices!E219)-1</f>
        <v>-6.7864271457086511E-3</v>
      </c>
      <c r="F218">
        <f>(Prices!F218/Prices!F219)-1</f>
        <v>1.0035211267605648E-2</v>
      </c>
      <c r="G218">
        <f>(Prices!G218/Prices!G219)-1</f>
        <v>-1.7596775547904953E-2</v>
      </c>
    </row>
    <row r="219" spans="1:7" x14ac:dyDescent="0.3">
      <c r="A219" s="1">
        <v>45716</v>
      </c>
      <c r="B219">
        <f>(Prices!B219/Prices!B220)-1</f>
        <v>1.8170491122417198E-2</v>
      </c>
      <c r="C219">
        <f>(Prices!C219/Prices!C220)-1</f>
        <v>1.9585676737416291E-2</v>
      </c>
      <c r="D219">
        <f>(Prices!D219/Prices!D220)-1</f>
        <v>1.0727611940298365E-2</v>
      </c>
      <c r="E219">
        <f>(Prices!E219/Prices!E220)-1</f>
        <v>1.2530315278900694E-2</v>
      </c>
      <c r="F219">
        <f>(Prices!F219/Prices!F220)-1</f>
        <v>1.0856024203595105E-2</v>
      </c>
      <c r="G219">
        <f>(Prices!G219/Prices!G220)-1</f>
        <v>1.5854114170776867E-2</v>
      </c>
    </row>
    <row r="220" spans="1:7" x14ac:dyDescent="0.3">
      <c r="A220" s="1">
        <v>45715</v>
      </c>
      <c r="B220">
        <f>(Prices!B220/Prices!B221)-1</f>
        <v>-2.7269972730027292E-2</v>
      </c>
      <c r="C220">
        <f>(Prices!C220/Prices!C221)-1</f>
        <v>1.4595400584962892E-2</v>
      </c>
      <c r="D220">
        <f>(Prices!D220/Prices!D221)-1</f>
        <v>6.2893081761006275E-3</v>
      </c>
      <c r="E220">
        <f>(Prices!E220/Prices!E221)-1</f>
        <v>-1.198083067092659E-2</v>
      </c>
      <c r="F220">
        <f>(Prices!F220/Prices!F221)-1</f>
        <v>3.9306771484723946E-3</v>
      </c>
      <c r="G220">
        <f>(Prices!G220/Prices!G221)-1</f>
        <v>-1.586451446090209E-2</v>
      </c>
    </row>
    <row r="221" spans="1:7" x14ac:dyDescent="0.3">
      <c r="A221" s="1">
        <v>45714</v>
      </c>
      <c r="B221">
        <f>(Prices!B221/Prices!B222)-1</f>
        <v>1.3200982398690275E-2</v>
      </c>
      <c r="C221">
        <f>(Prices!C221/Prices!C222)-1</f>
        <v>-4.1690462592803845E-3</v>
      </c>
      <c r="D221">
        <f>(Prices!D221/Prices!D222)-1</f>
        <v>-2.4346848955895117E-3</v>
      </c>
      <c r="E221">
        <f>(Prices!E221/Prices!E222)-1</f>
        <v>-1.2228796844181544E-2</v>
      </c>
      <c r="F221">
        <f>(Prices!F221/Prices!F222)-1</f>
        <v>-7.8000354547065331E-3</v>
      </c>
      <c r="G221">
        <f>(Prices!G221/Prices!G222)-1</f>
        <v>1.3601444103938931E-4</v>
      </c>
    </row>
    <row r="222" spans="1:7" x14ac:dyDescent="0.3">
      <c r="A222" s="1">
        <v>45713</v>
      </c>
      <c r="B222">
        <f>(Prices!B222/Prices!B223)-1</f>
        <v>-1.1431461810824439E-2</v>
      </c>
      <c r="C222">
        <f>(Prices!C222/Prices!C223)-1</f>
        <v>6.3796769929305164E-3</v>
      </c>
      <c r="D222">
        <f>(Prices!D222/Prices!D223)-1</f>
        <v>-1.3851694523963398E-2</v>
      </c>
      <c r="E222">
        <f>(Prices!E222/Prices!E223)-1</f>
        <v>3.5629453681709222E-3</v>
      </c>
      <c r="F222">
        <f>(Prices!F222/Prices!F223)-1</f>
        <v>1.2383345297918069E-2</v>
      </c>
      <c r="G222">
        <f>(Prices!G222/Prices!G223)-1</f>
        <v>-4.6797309154723576E-3</v>
      </c>
    </row>
    <row r="223" spans="1:7" x14ac:dyDescent="0.3">
      <c r="A223" s="1">
        <v>45712</v>
      </c>
      <c r="B223">
        <f>(Prices!B223/Prices!B224)-1</f>
        <v>-1.4653110047846862E-2</v>
      </c>
      <c r="C223">
        <f>(Prices!C223/Prices!C224)-1</f>
        <v>3.8367229193712049E-3</v>
      </c>
      <c r="D223">
        <f>(Prices!D223/Prices!D224)-1</f>
        <v>5.1981806367771277E-3</v>
      </c>
      <c r="E223">
        <f>(Prices!E223/Prices!E224)-1</f>
        <v>1.3237063778580138E-2</v>
      </c>
      <c r="F223">
        <f>(Prices!F223/Prices!F224)-1</f>
        <v>1.7979144192734609E-3</v>
      </c>
      <c r="G223">
        <f>(Prices!G223/Prices!G224)-1</f>
        <v>-4.9691258961639395E-3</v>
      </c>
    </row>
    <row r="224" spans="1:7" x14ac:dyDescent="0.3">
      <c r="A224" s="1">
        <v>45709</v>
      </c>
      <c r="B224">
        <f>(Prices!B224/Prices!B225)-1</f>
        <v>-2.0790629575402675E-2</v>
      </c>
      <c r="C224">
        <f>(Prices!C224/Prices!C225)-1</f>
        <v>-5.5938037865750356E-3</v>
      </c>
      <c r="D224">
        <f>(Prices!D224/Prices!D225)-1</f>
        <v>-1.1651376146788905E-2</v>
      </c>
      <c r="E224">
        <f>(Prices!E224/Prices!E225)-1</f>
        <v>1.5478615071283119E-2</v>
      </c>
      <c r="F224">
        <f>(Prices!F224/Prices!F225)-1</f>
        <v>1.8059792556436971E-2</v>
      </c>
      <c r="G224">
        <f>(Prices!G224/Prices!G225)-1</f>
        <v>-1.70641044083224E-2</v>
      </c>
    </row>
    <row r="225" spans="1:7" x14ac:dyDescent="0.3">
      <c r="A225" s="1">
        <v>45708</v>
      </c>
      <c r="B225">
        <f>(Prices!B225/Prices!B226)-1</f>
        <v>-1.8019745039777546E-2</v>
      </c>
      <c r="C225">
        <f>(Prices!C225/Prices!C226)-1</f>
        <v>-1.3358994679044445E-2</v>
      </c>
      <c r="D225">
        <f>(Prices!D225/Prices!D226)-1</f>
        <v>1.5370284117373068E-2</v>
      </c>
      <c r="E225">
        <f>(Prices!E225/Prices!E226)-1</f>
        <v>4.0749796251016157E-4</v>
      </c>
      <c r="F225">
        <f>(Prices!F225/Prices!F226)-1</f>
        <v>4.3507567865679331E-3</v>
      </c>
      <c r="G225">
        <f>(Prices!G225/Prices!G226)-1</f>
        <v>-4.3342040803039383E-3</v>
      </c>
    </row>
    <row r="226" spans="1:7" x14ac:dyDescent="0.3">
      <c r="A226" s="1">
        <v>45707</v>
      </c>
      <c r="B226">
        <f>(Prices!B226/Prices!B227)-1</f>
        <v>7.2407800733731431E-3</v>
      </c>
      <c r="C226">
        <f>(Prices!C226/Prices!C227)-1</f>
        <v>-4.1994306812096482E-3</v>
      </c>
      <c r="D226">
        <f>(Prices!D226/Prices!D227)-1</f>
        <v>1.4926765556488863E-3</v>
      </c>
      <c r="E226">
        <f>(Prices!E226/Prices!E227)-1</f>
        <v>1.2794056954188893E-2</v>
      </c>
      <c r="F226">
        <f>(Prices!F226/Prices!F227)-1</f>
        <v>6.4138143694110195E-3</v>
      </c>
      <c r="G226">
        <f>(Prices!G226/Prices!G227)-1</f>
        <v>2.3769980977488281E-3</v>
      </c>
    </row>
    <row r="227" spans="1:7" x14ac:dyDescent="0.3">
      <c r="A227" s="1">
        <v>45706</v>
      </c>
      <c r="B227">
        <f>(Prices!B227/Prices!B228)-1</f>
        <v>-2.1537880219157368E-2</v>
      </c>
      <c r="C227">
        <f>(Prices!C227/Prices!C228)-1</f>
        <v>8.24074337188474E-3</v>
      </c>
      <c r="D227">
        <f>(Prices!D227/Prices!D228)-1</f>
        <v>1.7562179608885398E-2</v>
      </c>
      <c r="E227">
        <f>(Prices!E227/Prices!E228)-1</f>
        <v>1.2396694214875659E-3</v>
      </c>
      <c r="F227">
        <f>(Prices!F227/Prices!F228)-1</f>
        <v>1.5595640736565164E-2</v>
      </c>
      <c r="G227">
        <f>(Prices!G227/Prices!G228)-1</f>
        <v>2.4449557863681637E-3</v>
      </c>
    </row>
    <row r="228" spans="1:7" x14ac:dyDescent="0.3">
      <c r="A228" s="1">
        <v>45702</v>
      </c>
      <c r="B228">
        <f>(Prices!B228/Prices!B229)-1</f>
        <v>1.4276132988406687E-2</v>
      </c>
      <c r="C228">
        <f>(Prices!C228/Prices!C229)-1</f>
        <v>-5.1170417279203795E-3</v>
      </c>
      <c r="D228">
        <f>(Prices!D228/Prices!D229)-1</f>
        <v>1.0453292787226953E-3</v>
      </c>
      <c r="E228">
        <f>(Prices!E228/Prices!E229)-1</f>
        <v>-4.5248868778280382E-3</v>
      </c>
      <c r="F228">
        <f>(Prices!F228/Prices!F229)-1</f>
        <v>-4.7545188808685745E-2</v>
      </c>
      <c r="G228">
        <f>(Prices!G228/Prices!G229)-1</f>
        <v>-7.195338728738232E-5</v>
      </c>
    </row>
    <row r="229" spans="1:7" x14ac:dyDescent="0.3">
      <c r="A229" s="1">
        <v>45701</v>
      </c>
      <c r="B229">
        <f>(Prices!B229/Prices!B230)-1</f>
        <v>1.5964177942178637E-2</v>
      </c>
      <c r="C229">
        <f>(Prices!C229/Prices!C230)-1</f>
        <v>1.1784897025171714E-2</v>
      </c>
      <c r="D229">
        <f>(Prices!D229/Prices!D230)-1</f>
        <v>7.1784073506890866E-3</v>
      </c>
      <c r="E229">
        <f>(Prices!E229/Prices!E230)-1</f>
        <v>7.0422535211267512E-3</v>
      </c>
      <c r="F229">
        <f>(Prices!F229/Prices!F230)-1</f>
        <v>8.4827337263866376E-3</v>
      </c>
      <c r="G229">
        <f>(Prices!G229/Prices!G230)-1</f>
        <v>1.0426357037460532E-2</v>
      </c>
    </row>
    <row r="230" spans="1:7" x14ac:dyDescent="0.3">
      <c r="A230" s="1">
        <v>45700</v>
      </c>
      <c r="B230">
        <f>(Prices!B230/Prices!B231)-1</f>
        <v>1.9045729590318361E-2</v>
      </c>
      <c r="C230">
        <f>(Prices!C230/Prices!C231)-1</f>
        <v>2.2073789524985621E-3</v>
      </c>
      <c r="D230">
        <f>(Prices!D230/Prices!D231)-1</f>
        <v>-3.0077979948013311E-2</v>
      </c>
      <c r="E230">
        <f>(Prices!E230/Prices!E231)-1</f>
        <v>-2.4793388429751317E-3</v>
      </c>
      <c r="F230">
        <f>(Prices!F230/Prices!F231)-1</f>
        <v>8.4296724470123152E-4</v>
      </c>
      <c r="G230">
        <f>(Prices!G230/Prices!G231)-1</f>
        <v>-2.7239021174919609E-3</v>
      </c>
    </row>
    <row r="231" spans="1:7" x14ac:dyDescent="0.3">
      <c r="A231" s="1">
        <v>45699</v>
      </c>
      <c r="B231">
        <f>(Prices!B231/Prices!B232)-1</f>
        <v>-1.8976255352277205E-2</v>
      </c>
      <c r="C231">
        <f>(Prices!C231/Prices!C232)-1</f>
        <v>2.2939068100358284E-4</v>
      </c>
      <c r="D231">
        <f>(Prices!D231/Prices!D232)-1</f>
        <v>6.3527653213750757E-3</v>
      </c>
      <c r="E231">
        <f>(Prices!E231/Prices!E232)-1</f>
        <v>-1.3050570962479635E-2</v>
      </c>
      <c r="F231">
        <f>(Prices!F231/Prices!F232)-1</f>
        <v>1.1387857012362224E-2</v>
      </c>
      <c r="G231">
        <f>(Prices!G231/Prices!G232)-1</f>
        <v>3.3957312690802155E-4</v>
      </c>
    </row>
    <row r="232" spans="1:7" x14ac:dyDescent="0.3">
      <c r="A232" s="1">
        <v>45698</v>
      </c>
      <c r="B232">
        <f>(Prices!B232/Prices!B233)-1</f>
        <v>1.3512180688430853E-2</v>
      </c>
      <c r="C232">
        <f>(Prices!C232/Prices!C233)-1</f>
        <v>9.2021876899035515E-3</v>
      </c>
      <c r="D232">
        <f>(Prices!D232/Prices!D233)-1</f>
        <v>1.9040365575019091E-2</v>
      </c>
      <c r="E232">
        <f>(Prices!E232/Prices!E233)-1</f>
        <v>4.9180327868851847E-3</v>
      </c>
      <c r="F232">
        <f>(Prices!F232/Prices!F233)-1</f>
        <v>-2.6117589893098758E-3</v>
      </c>
      <c r="G232">
        <f>(Prices!G232/Prices!G233)-1</f>
        <v>6.712589964470439E-3</v>
      </c>
    </row>
    <row r="233" spans="1:7" x14ac:dyDescent="0.3">
      <c r="A233" s="1">
        <v>45695</v>
      </c>
      <c r="B233">
        <f>(Prices!B233/Prices!B234)-1</f>
        <v>-1.7721768238652125E-3</v>
      </c>
      <c r="C233">
        <f>(Prices!C233/Prices!C234)-1</f>
        <v>1.5650812972785033E-3</v>
      </c>
      <c r="D233">
        <f>(Prices!D233/Prices!D234)-1</f>
        <v>4.3025145807438214E-3</v>
      </c>
      <c r="E233">
        <f>(Prices!E233/Prices!E234)-1</f>
        <v>-3.6749693752552437E-3</v>
      </c>
      <c r="F233">
        <f>(Prices!F233/Prices!F234)-1</f>
        <v>-5.4367524465386285E-3</v>
      </c>
      <c r="G233">
        <f>(Prices!G233/Prices!G234)-1</f>
        <v>-9.464837258386094E-3</v>
      </c>
    </row>
    <row r="234" spans="1:7" x14ac:dyDescent="0.3">
      <c r="A234" s="1">
        <v>45694</v>
      </c>
      <c r="B234">
        <f>(Prices!B234/Prices!B235)-1</f>
        <v>4.5495005439619707E-3</v>
      </c>
      <c r="C234">
        <f>(Prices!C234/Prices!C235)-1</f>
        <v>-5.6199204565106076E-3</v>
      </c>
      <c r="D234">
        <f>(Prices!D234/Prices!D235)-1</f>
        <v>-1.3208793282385001E-2</v>
      </c>
      <c r="E234">
        <f>(Prices!E234/Prices!E235)-1</f>
        <v>-2.2745411013567418E-2</v>
      </c>
      <c r="F234">
        <f>(Prices!F234/Prices!F235)-1</f>
        <v>-7.243752263672576E-4</v>
      </c>
      <c r="G234">
        <f>(Prices!G234/Prices!G235)-1</f>
        <v>3.64432448840879E-3</v>
      </c>
    </row>
    <row r="235" spans="1:7" x14ac:dyDescent="0.3">
      <c r="A235" s="1">
        <v>45693</v>
      </c>
      <c r="B235">
        <f>(Prices!B235/Prices!B236)-1</f>
        <v>1.6283043521962082E-2</v>
      </c>
      <c r="C235">
        <f>(Prices!C235/Prices!C236)-1</f>
        <v>1.2429971988795474E-2</v>
      </c>
      <c r="D235">
        <f>(Prices!D235/Prices!D236)-1</f>
        <v>-7.5421891203919511E-4</v>
      </c>
      <c r="E235">
        <f>(Prices!E235/Prices!E236)-1</f>
        <v>2.2022838499184294E-2</v>
      </c>
      <c r="F235">
        <f>(Prices!F235/Prices!F236)-1</f>
        <v>5.2184466019415954E-3</v>
      </c>
      <c r="G235">
        <f>(Prices!G235/Prices!G236)-1</f>
        <v>3.9086566808217427E-3</v>
      </c>
    </row>
    <row r="236" spans="1:7" x14ac:dyDescent="0.3">
      <c r="A236" s="1">
        <v>45692</v>
      </c>
      <c r="B236">
        <f>(Prices!B236/Prices!B237)-1</f>
        <v>1.6344876902645744E-2</v>
      </c>
      <c r="C236">
        <f>(Prices!C236/Prices!C237)-1</f>
        <v>-1.9220688450112267E-3</v>
      </c>
      <c r="D236">
        <f>(Prices!D236/Prices!D237)-1</f>
        <v>2.6815101645692119E-2</v>
      </c>
      <c r="E236">
        <f>(Prices!E236/Prices!E237)-1</f>
        <v>-1.2882447665056418E-2</v>
      </c>
      <c r="F236">
        <f>(Prices!F236/Prices!F237)-1</f>
        <v>-3.7480353040743042E-3</v>
      </c>
      <c r="G236">
        <f>(Prices!G236/Prices!G237)-1</f>
        <v>7.2248718423506553E-3</v>
      </c>
    </row>
    <row r="237" spans="1:7" x14ac:dyDescent="0.3">
      <c r="A237" s="1">
        <v>45691</v>
      </c>
      <c r="B237">
        <f>(Prices!B237/Prices!B238)-1</f>
        <v>2.149877149877133E-3</v>
      </c>
      <c r="C237">
        <f>(Prices!C237/Prices!C238)-1</f>
        <v>1.1756386458057211E-2</v>
      </c>
      <c r="D237">
        <f>(Prices!D237/Prices!D238)-1</f>
        <v>2.4260067928190132E-3</v>
      </c>
      <c r="E237">
        <f>(Prices!E237/Prices!E238)-1</f>
        <v>-1.1933174224343701E-2</v>
      </c>
      <c r="F237">
        <f>(Prices!F237/Prices!F238)-1</f>
        <v>1.6717885679164102E-2</v>
      </c>
      <c r="G237">
        <f>(Prices!G237/Prices!G238)-1</f>
        <v>-7.6086038807853251E-3</v>
      </c>
    </row>
    <row r="238" spans="1:7" x14ac:dyDescent="0.3">
      <c r="A238" s="1">
        <v>45688</v>
      </c>
      <c r="B238">
        <f>(Prices!B238/Prices!B239)-1</f>
        <v>3.6991368680643344E-3</v>
      </c>
      <c r="C238">
        <f>(Prices!C238/Prices!C239)-1</f>
        <v>-3.6403135366820383E-3</v>
      </c>
      <c r="D238">
        <f>(Prices!D238/Prices!D239)-1</f>
        <v>-2.4978711325574832E-2</v>
      </c>
      <c r="E238">
        <f>(Prices!E238/Prices!E239)-1</f>
        <v>-1.4504116032928338E-2</v>
      </c>
      <c r="F238">
        <f>(Prices!F238/Prices!F239)-1</f>
        <v>-8.5313833028641817E-3</v>
      </c>
      <c r="G238">
        <f>(Prices!G238/Prices!G239)-1</f>
        <v>-5.0468031697350479E-3</v>
      </c>
    </row>
    <row r="239" spans="1:7" x14ac:dyDescent="0.3">
      <c r="A239" s="1">
        <v>45687</v>
      </c>
      <c r="B239">
        <f>(Prices!B239/Prices!B240)-1</f>
        <v>-5.1114291555919289E-3</v>
      </c>
      <c r="C239">
        <f>(Prices!C239/Prices!C240)-1</f>
        <v>2.1348685196845629E-2</v>
      </c>
      <c r="D239">
        <f>(Prices!D239/Prices!D240)-1</f>
        <v>8.2999427590155772E-3</v>
      </c>
      <c r="E239">
        <f>(Prices!E239/Prices!E240)-1</f>
        <v>1.1097899326198979E-2</v>
      </c>
      <c r="F239">
        <f>(Prices!F239/Prices!F240)-1</f>
        <v>7.1191849760647852E-3</v>
      </c>
      <c r="G239">
        <f>(Prices!G239/Prices!G240)-1</f>
        <v>5.2754370946348494E-3</v>
      </c>
    </row>
    <row r="240" spans="1:7" x14ac:dyDescent="0.3">
      <c r="A240" s="1">
        <v>45686</v>
      </c>
      <c r="B240">
        <f>(Prices!B240/Prices!B241)-1</f>
        <v>6.5857172257663965E-3</v>
      </c>
      <c r="C240">
        <f>(Prices!C240/Prices!C241)-1</f>
        <v>4.1852342526798036E-3</v>
      </c>
      <c r="D240">
        <f>(Prices!D240/Prices!D241)-1</f>
        <v>5.7570523891767866E-3</v>
      </c>
      <c r="E240">
        <f>(Prices!E240/Prices!E241)-1</f>
        <v>-5.1261829652996527E-3</v>
      </c>
      <c r="F240">
        <f>(Prices!F240/Prices!F241)-1</f>
        <v>2.4554941682009002E-4</v>
      </c>
      <c r="G240">
        <f>(Prices!G240/Prices!G241)-1</f>
        <v>-4.6788733787100911E-3</v>
      </c>
    </row>
    <row r="241" spans="1:7" x14ac:dyDescent="0.3">
      <c r="A241" s="1">
        <v>45685</v>
      </c>
      <c r="B241">
        <f>(Prices!B241/Prices!B242)-1</f>
        <v>-1.028912439550167E-4</v>
      </c>
      <c r="C241">
        <f>(Prices!C241/Prices!C242)-1</f>
        <v>-1.8062496236981307E-4</v>
      </c>
      <c r="D241">
        <f>(Prices!D241/Prices!D242)-1</f>
        <v>-1.9290486496659431E-2</v>
      </c>
      <c r="E241">
        <f>(Prices!E241/Prices!E242)-1</f>
        <v>-3.9277297721916904E-3</v>
      </c>
      <c r="F241">
        <f>(Prices!F241/Prices!F242)-1</f>
        <v>-2.0444978953698123E-2</v>
      </c>
      <c r="G241">
        <f>(Prices!G241/Prices!G242)-1</f>
        <v>9.2178009008230255E-3</v>
      </c>
    </row>
    <row r="242" spans="1:7" x14ac:dyDescent="0.3">
      <c r="A242" s="1">
        <v>45684</v>
      </c>
      <c r="B242">
        <f>(Prices!B242/Prices!B243)-1</f>
        <v>-5.8306055646482058E-3</v>
      </c>
      <c r="C242">
        <f>(Prices!C242/Prices!C243)-1</f>
        <v>1.3145453990911049E-2</v>
      </c>
      <c r="D242">
        <f>(Prices!D242/Prices!D243)-1</f>
        <v>1.3929968514454716E-2</v>
      </c>
      <c r="E242">
        <f>(Prices!E242/Prices!E243)-1</f>
        <v>2.9518803073190547E-2</v>
      </c>
      <c r="F242">
        <f>(Prices!F242/Prices!F243)-1</f>
        <v>3.3753962827127504E-2</v>
      </c>
      <c r="G242">
        <f>(Prices!G242/Prices!G243)-1</f>
        <v>-1.45806426234667E-2</v>
      </c>
    </row>
    <row r="243" spans="1:7" x14ac:dyDescent="0.3">
      <c r="A243" s="1">
        <v>45681</v>
      </c>
      <c r="B243">
        <f>(Prices!B243/Prices!B244)-1</f>
        <v>-7.4119199918772916E-3</v>
      </c>
      <c r="C243">
        <f>(Prices!C243/Prices!C244)-1</f>
        <v>6.0447990181038413E-3</v>
      </c>
      <c r="D243">
        <f>(Prices!D243/Prices!D244)-1</f>
        <v>-1.3552941176470545E-2</v>
      </c>
      <c r="E243">
        <f>(Prices!E243/Prices!E244)-1</f>
        <v>2.8386050283859543E-3</v>
      </c>
      <c r="F243">
        <f>(Prices!F243/Prices!F244)-1</f>
        <v>-6.1777969975906899E-3</v>
      </c>
      <c r="G243">
        <f>(Prices!G243/Prices!G244)-1</f>
        <v>-2.8551769899211044E-3</v>
      </c>
    </row>
    <row r="244" spans="1:7" x14ac:dyDescent="0.3">
      <c r="A244" s="1">
        <v>45680</v>
      </c>
      <c r="B244">
        <f>(Prices!B244/Prices!B245)-1</f>
        <v>3.2389937106918065E-2</v>
      </c>
      <c r="C244">
        <f>(Prices!C244/Prices!C245)-1</f>
        <v>1.4379980079681332E-2</v>
      </c>
      <c r="D244">
        <f>(Prices!D244/Prices!D245)-1</f>
        <v>5.6791292001892035E-3</v>
      </c>
      <c r="E244">
        <f>(Prices!E244/Prices!E245)-1</f>
        <v>1.6488046166529102E-2</v>
      </c>
      <c r="F244">
        <f>(Prices!F244/Prices!F245)-1</f>
        <v>8.5358255451712939E-3</v>
      </c>
      <c r="G244">
        <f>(Prices!G244/Prices!G245)-1</f>
        <v>5.31351199483443E-3</v>
      </c>
    </row>
    <row r="245" spans="1:7" x14ac:dyDescent="0.3">
      <c r="A245" s="1">
        <v>45679</v>
      </c>
      <c r="B245">
        <f>(Prices!B245/Prices!B246)-1</f>
        <v>9.6929975853742745E-2</v>
      </c>
      <c r="C245">
        <f>(Prices!C245/Prices!C246)-1</f>
        <v>-2.1783102536188093E-4</v>
      </c>
      <c r="D245">
        <f>(Prices!D245/Prices!D246)-1</f>
        <v>-1.7392113095238027E-2</v>
      </c>
      <c r="E245">
        <f>(Prices!E245/Prices!E246)-1</f>
        <v>-2.3349436392914535E-2</v>
      </c>
      <c r="F245">
        <f>(Prices!F245/Prices!F246)-1</f>
        <v>1.8659558263518727E-2</v>
      </c>
      <c r="G245">
        <f>(Prices!G245/Prices!G246)-1</f>
        <v>6.1379611323075789E-3</v>
      </c>
    </row>
    <row r="246" spans="1:7" x14ac:dyDescent="0.3">
      <c r="A246" s="1">
        <v>45678</v>
      </c>
      <c r="B246">
        <f>(Prices!B246/Prices!B247)-1</f>
        <v>1.3518237967602875E-2</v>
      </c>
      <c r="C246">
        <f>(Prices!C246/Prices!C247)-1</f>
        <v>1.2540567791536672E-2</v>
      </c>
      <c r="D246">
        <f>(Prices!D246/Prices!D247)-1</f>
        <v>-7.5687649990769934E-3</v>
      </c>
      <c r="E246">
        <f>(Prices!E246/Prices!E247)-1</f>
        <v>1.2637586628617914E-2</v>
      </c>
      <c r="F246">
        <f>(Prices!F246/Prices!F247)-1</f>
        <v>3.6947381832082016E-3</v>
      </c>
      <c r="G246">
        <f>(Prices!G246/Prices!G247)-1</f>
        <v>8.7682143059637507E-3</v>
      </c>
    </row>
    <row r="247" spans="1:7" x14ac:dyDescent="0.3">
      <c r="A247" s="1">
        <v>45674</v>
      </c>
      <c r="B247">
        <f>(Prices!B247/Prices!B248)-1</f>
        <v>1.8637226970560361E-2</v>
      </c>
      <c r="C247">
        <f>(Prices!C247/Prices!C248)-1</f>
        <v>7.4918256563283325E-3</v>
      </c>
      <c r="D247">
        <f>(Prices!D247/Prices!D248)-1</f>
        <v>8.9402123300428293E-3</v>
      </c>
      <c r="E247">
        <f>(Prices!E247/Prices!E248)-1</f>
        <v>-6.8825910931172851E-3</v>
      </c>
      <c r="F247">
        <f>(Prices!F247/Prices!F248)-1</f>
        <v>3.9010040289058079E-3</v>
      </c>
      <c r="G247">
        <f>(Prices!G247/Prices!G248)-1</f>
        <v>9.9910060734267336E-3</v>
      </c>
    </row>
    <row r="248" spans="1:7" x14ac:dyDescent="0.3">
      <c r="A248" s="1">
        <v>45673</v>
      </c>
      <c r="B248">
        <f>(Prices!B248/Prices!B249)-1</f>
        <v>-6.9550866438760073E-3</v>
      </c>
      <c r="C248">
        <f>(Prices!C248/Prices!C249)-1</f>
        <v>3.0568380831077491E-3</v>
      </c>
      <c r="D248">
        <f>(Prices!D248/Prices!D249)-1</f>
        <v>-1.6734845667535359E-3</v>
      </c>
      <c r="E248">
        <f>(Prices!E248/Prices!E249)-1</f>
        <v>1.0224948875255713E-2</v>
      </c>
      <c r="F248">
        <f>(Prices!F248/Prices!F249)-1</f>
        <v>5.336247910505465E-3</v>
      </c>
      <c r="G248">
        <f>(Prices!G248/Prices!G249)-1</f>
        <v>-2.112636997870454E-3</v>
      </c>
    </row>
    <row r="249" spans="1:7" x14ac:dyDescent="0.3">
      <c r="A249" s="1">
        <v>45672</v>
      </c>
      <c r="B249">
        <f>(Prices!B249/Prices!B250)-1</f>
        <v>2.4022211492032763E-2</v>
      </c>
      <c r="C249">
        <f>(Prices!C249/Prices!C250)-1</f>
        <v>2.3264149099084364E-2</v>
      </c>
      <c r="D249">
        <f>(Prices!D249/Prices!D250)-1</f>
        <v>1.6250944822373325E-2</v>
      </c>
      <c r="E249">
        <f>(Prices!E249/Prices!E250)-1</f>
        <v>-7.3081607795371095E-3</v>
      </c>
      <c r="F249">
        <f>(Prices!F249/Prices!F250)-1</f>
        <v>-5.7829467326353523E-4</v>
      </c>
      <c r="G249">
        <f>(Prices!G249/Prices!G250)-1</f>
        <v>1.8312792769356268E-2</v>
      </c>
    </row>
    <row r="250" spans="1:7" x14ac:dyDescent="0.3">
      <c r="A250" s="1">
        <v>45671</v>
      </c>
      <c r="B250">
        <f>(Prices!B250/Prices!B251)-1</f>
        <v>-1.4161608949184834E-2</v>
      </c>
      <c r="C250">
        <f>(Prices!C250/Prices!C251)-1</f>
        <v>7.0547315920725939E-3</v>
      </c>
      <c r="D250">
        <f>(Prices!D250/Prices!D251)-1</f>
        <v>3.9840637450199168E-3</v>
      </c>
      <c r="E250">
        <f>(Prices!E250/Prices!E251)-1</f>
        <v>-1.4405762304921965E-2</v>
      </c>
      <c r="F250">
        <f>(Prices!F250/Prices!F251)-1</f>
        <v>5.6865912762520399E-3</v>
      </c>
      <c r="G250">
        <f>(Prices!G250/Prices!G251)-1</f>
        <v>1.146289893115604E-3</v>
      </c>
    </row>
    <row r="251" spans="1:7" x14ac:dyDescent="0.3">
      <c r="A251" s="1">
        <v>45670</v>
      </c>
      <c r="B251" t="str">
        <f>IFERROR((Prices!B251/Prices!B252)-1,"")</f>
        <v/>
      </c>
      <c r="C251" t="str">
        <f>IFERROR((Prices!C251/Prices!C252)-1,"")</f>
        <v/>
      </c>
      <c r="D251" t="str">
        <f>IFERROR((Prices!D251/Prices!D252)-1,"")</f>
        <v/>
      </c>
      <c r="E251" t="str">
        <f>IFERROR((Prices!E251/Prices!E252)-1,"")</f>
        <v/>
      </c>
      <c r="F251" t="str">
        <f>IFERROR((Prices!F251/Prices!F252)-1,"")</f>
        <v/>
      </c>
      <c r="G251" t="str">
        <f>IFERROR((Prices!G251/Prices!G252)-1,"")</f>
        <v/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4"/>
  <sheetViews>
    <sheetView workbookViewId="0">
      <selection activeCell="D26" sqref="D26"/>
    </sheetView>
  </sheetViews>
  <sheetFormatPr defaultRowHeight="14.4" x14ac:dyDescent="0.3"/>
  <cols>
    <col min="1" max="1" width="23.5546875" customWidth="1"/>
    <col min="2" max="2" width="13.6640625" customWidth="1"/>
    <col min="3" max="3" width="14.109375" customWidth="1"/>
    <col min="4" max="4" width="15" customWidth="1"/>
    <col min="5" max="5" width="14.33203125" customWidth="1"/>
    <col min="6" max="6" width="14.44140625" customWidth="1"/>
  </cols>
  <sheetData>
    <row r="1" spans="1:6" x14ac:dyDescent="0.3">
      <c r="A1" s="6" t="s">
        <v>17</v>
      </c>
      <c r="B1" s="6" t="s">
        <v>20</v>
      </c>
      <c r="C1" s="6" t="s">
        <v>21</v>
      </c>
      <c r="D1" s="6" t="s">
        <v>22</v>
      </c>
      <c r="E1" s="6" t="s">
        <v>23</v>
      </c>
      <c r="F1" s="6" t="s">
        <v>24</v>
      </c>
    </row>
    <row r="2" spans="1:6" x14ac:dyDescent="0.3">
      <c r="A2" s="9" t="s">
        <v>18</v>
      </c>
      <c r="B2" s="7">
        <f>AVERAGE('Daily Returns'!B2:B251)</f>
        <v>4.7966736302409448E-4</v>
      </c>
      <c r="C2" s="7">
        <f>AVERAGE('Daily Returns'!C2:C251)</f>
        <v>6.5534245525283841E-4</v>
      </c>
      <c r="D2" s="7">
        <f>AVERAGE('Daily Returns'!D2:D251)</f>
        <v>7.8743656619324677E-4</v>
      </c>
      <c r="E2" s="7">
        <f>AVERAGE('Daily Returns'!E2:E251)</f>
        <v>2.124679368095516E-4</v>
      </c>
      <c r="F2" s="7">
        <f>AVERAGE('Daily Returns'!F2:F251)</f>
        <v>-2.7817398650750112E-4</v>
      </c>
    </row>
    <row r="3" spans="1:6" x14ac:dyDescent="0.3">
      <c r="A3" s="9" t="s">
        <v>19</v>
      </c>
      <c r="B3" s="8">
        <f>AVERAGE('Daily Returns'!B2:B251)*252</f>
        <v>0.12087617548207182</v>
      </c>
      <c r="C3" s="8">
        <f>AVERAGE('Daily Returns'!C2:C251)*252</f>
        <v>0.16514629872371528</v>
      </c>
      <c r="D3" s="8">
        <f>AVERAGE('Daily Returns'!D2:D251)*252</f>
        <v>0.19843401468069818</v>
      </c>
      <c r="E3" s="8">
        <f>AVERAGE('Daily Returns'!E2:E251)*252</f>
        <v>5.3541920076007006E-2</v>
      </c>
      <c r="F3" s="8">
        <f>AVERAGE('Daily Returns'!F2:F251)*252</f>
        <v>-7.0099844599890285E-2</v>
      </c>
    </row>
    <row r="4" spans="1:6" x14ac:dyDescent="0.3">
      <c r="A4" s="10" t="s">
        <v>26</v>
      </c>
      <c r="B4" s="8">
        <f>_xlfn.STDEV.S('Daily Returns'!B2:B251)</f>
        <v>2.1351179465342016E-2</v>
      </c>
      <c r="C4" s="8">
        <f>_xlfn.STDEV.S('Daily Returns'!C2:C251)</f>
        <v>1.4297796549173939E-2</v>
      </c>
      <c r="D4" s="8">
        <f>_xlfn.STDEV.S('Daily Returns'!D2:D251)</f>
        <v>1.5176196456642536E-2</v>
      </c>
      <c r="E4" s="8">
        <f>_xlfn.STDEV.S('Daily Returns'!E2:E251)</f>
        <v>1.6459982103098954E-2</v>
      </c>
      <c r="F4" s="8">
        <f>_xlfn.STDEV.S('Daily Returns'!F2:F251)</f>
        <v>1.188864458407426E-2</v>
      </c>
    </row>
    <row r="5" spans="1:6" x14ac:dyDescent="0.3">
      <c r="A5" s="9" t="s">
        <v>25</v>
      </c>
      <c r="B5" s="8">
        <f>_xlfn.STDEV.S('Daily Returns'!B2:B251)*SQRT(252)</f>
        <v>0.33893946637922406</v>
      </c>
      <c r="C5" s="8">
        <f>_xlfn.STDEV.S('Daily Returns'!C2:C251)*SQRT(252)</f>
        <v>0.22697048379187038</v>
      </c>
      <c r="D5" s="8">
        <f>_xlfn.STDEV.S('Daily Returns'!D2:D251)*SQRT(252)</f>
        <v>0.2409146500328147</v>
      </c>
      <c r="E5" s="8">
        <f>_xlfn.STDEV.S('Daily Returns'!E2:E251)*SQRT(252)</f>
        <v>0.26129411537624253</v>
      </c>
      <c r="F5" s="8">
        <f>_xlfn.STDEV.S('Daily Returns'!F2:F251)*SQRT(252)</f>
        <v>0.18872638197057251</v>
      </c>
    </row>
    <row r="6" spans="1:6" ht="15" thickBot="1" x14ac:dyDescent="0.35">
      <c r="B6" s="5"/>
    </row>
    <row r="7" spans="1:6" ht="15" thickBot="1" x14ac:dyDescent="0.35">
      <c r="A7" s="23" t="s">
        <v>27</v>
      </c>
      <c r="B7" s="24"/>
      <c r="C7" s="24"/>
      <c r="D7" s="24"/>
      <c r="E7" s="24"/>
      <c r="F7" s="25"/>
    </row>
    <row r="8" spans="1:6" ht="15" thickBot="1" x14ac:dyDescent="0.35"/>
    <row r="9" spans="1:6" x14ac:dyDescent="0.3">
      <c r="A9" s="12"/>
      <c r="B9" s="12" t="s">
        <v>12</v>
      </c>
      <c r="C9" s="12" t="s">
        <v>13</v>
      </c>
      <c r="D9" s="12" t="s">
        <v>14</v>
      </c>
      <c r="E9" s="12" t="s">
        <v>15</v>
      </c>
      <c r="F9" s="12" t="s">
        <v>16</v>
      </c>
    </row>
    <row r="10" spans="1:6" x14ac:dyDescent="0.3">
      <c r="A10" t="s">
        <v>12</v>
      </c>
      <c r="B10">
        <v>1</v>
      </c>
      <c r="C10">
        <v>0.36310806185793787</v>
      </c>
      <c r="D10">
        <v>7.6941454040294274E-2</v>
      </c>
      <c r="E10">
        <v>-1.2200944145384317E-2</v>
      </c>
      <c r="F10">
        <v>3.505035453691159E-2</v>
      </c>
    </row>
    <row r="11" spans="1:6" x14ac:dyDescent="0.3">
      <c r="A11" t="s">
        <v>13</v>
      </c>
      <c r="B11">
        <v>0.36310806185793787</v>
      </c>
      <c r="C11">
        <v>1</v>
      </c>
      <c r="D11">
        <v>0.28729347808817346</v>
      </c>
      <c r="E11">
        <v>0.36227794500319133</v>
      </c>
      <c r="F11">
        <v>0.37621044118255115</v>
      </c>
    </row>
    <row r="12" spans="1:6" x14ac:dyDescent="0.3">
      <c r="A12" t="s">
        <v>14</v>
      </c>
      <c r="B12">
        <v>7.6941454040294274E-2</v>
      </c>
      <c r="C12">
        <v>0.28729347808817346</v>
      </c>
      <c r="D12">
        <v>1</v>
      </c>
      <c r="E12">
        <v>0.24221649766367265</v>
      </c>
      <c r="F12">
        <v>0.22383375905451933</v>
      </c>
    </row>
    <row r="13" spans="1:6" x14ac:dyDescent="0.3">
      <c r="A13" t="s">
        <v>15</v>
      </c>
      <c r="B13">
        <v>-1.2200944145384317E-2</v>
      </c>
      <c r="C13">
        <v>0.36227794500319133</v>
      </c>
      <c r="D13">
        <v>0.24221649766367265</v>
      </c>
      <c r="E13">
        <v>1</v>
      </c>
      <c r="F13">
        <v>0.34101943016636449</v>
      </c>
    </row>
    <row r="14" spans="1:6" ht="15" thickBot="1" x14ac:dyDescent="0.35">
      <c r="A14" s="11" t="s">
        <v>16</v>
      </c>
      <c r="B14" s="11">
        <v>3.505035453691159E-2</v>
      </c>
      <c r="C14" s="11">
        <v>0.37621044118255115</v>
      </c>
      <c r="D14" s="11">
        <v>0.22383375905451933</v>
      </c>
      <c r="E14" s="11">
        <v>0.34101943016636449</v>
      </c>
      <c r="F14" s="11">
        <v>1</v>
      </c>
    </row>
  </sheetData>
  <mergeCells count="1">
    <mergeCell ref="A7:F7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M25"/>
  <sheetViews>
    <sheetView workbookViewId="0">
      <selection activeCell="I13" sqref="I13"/>
    </sheetView>
  </sheetViews>
  <sheetFormatPr defaultRowHeight="14.4" x14ac:dyDescent="0.3"/>
  <cols>
    <col min="1" max="1" width="24.33203125" customWidth="1"/>
    <col min="2" max="2" width="15.44140625" customWidth="1"/>
    <col min="3" max="3" width="15" customWidth="1"/>
    <col min="4" max="4" width="14.33203125" customWidth="1"/>
    <col min="5" max="5" width="14.44140625" customWidth="1"/>
    <col min="6" max="6" width="14" customWidth="1"/>
    <col min="7" max="7" width="14.6640625" customWidth="1"/>
    <col min="8" max="8" width="17.33203125" customWidth="1"/>
    <col min="9" max="9" width="24" customWidth="1"/>
    <col min="10" max="10" width="16.44140625" customWidth="1"/>
    <col min="11" max="11" width="14.33203125" customWidth="1"/>
    <col min="12" max="12" width="16.6640625" customWidth="1"/>
    <col min="13" max="13" width="19.33203125" customWidth="1"/>
  </cols>
  <sheetData>
    <row r="1" spans="1:13" x14ac:dyDescent="0.3">
      <c r="A1" s="6" t="s">
        <v>17</v>
      </c>
      <c r="B1" s="6" t="s">
        <v>20</v>
      </c>
      <c r="C1" s="6" t="s">
        <v>21</v>
      </c>
      <c r="D1" s="6" t="s">
        <v>22</v>
      </c>
      <c r="E1" s="6" t="s">
        <v>23</v>
      </c>
      <c r="F1" s="6" t="s">
        <v>24</v>
      </c>
    </row>
    <row r="2" spans="1:13" x14ac:dyDescent="0.3">
      <c r="A2" s="9" t="s">
        <v>19</v>
      </c>
      <c r="B2" s="8">
        <f>AVERAGE('Daily Returns'!B2:B251)*252</f>
        <v>0.12087617548207182</v>
      </c>
      <c r="C2" s="8">
        <f>AVERAGE('Daily Returns'!C2:C251)*252</f>
        <v>0.16514629872371528</v>
      </c>
      <c r="D2" s="8">
        <f>AVERAGE('Daily Returns'!D2:D251)*252</f>
        <v>0.19843401468069818</v>
      </c>
      <c r="E2" s="8">
        <f>AVERAGE('Daily Returns'!E2:E251)*252</f>
        <v>5.3541920076007006E-2</v>
      </c>
      <c r="F2" s="8">
        <f>AVERAGE('Daily Returns'!F2:F251)*252</f>
        <v>-7.0099844599890285E-2</v>
      </c>
    </row>
    <row r="3" spans="1:13" x14ac:dyDescent="0.3">
      <c r="A3" s="9" t="s">
        <v>25</v>
      </c>
      <c r="B3" s="8">
        <f>_xlfn.STDEV.S('Daily Returns'!B2:B251)*SQRT(252)</f>
        <v>0.33893946637922406</v>
      </c>
      <c r="C3" s="8">
        <f>_xlfn.STDEV.S('Daily Returns'!C2:C251)*SQRT(252)</f>
        <v>0.22697048379187038</v>
      </c>
      <c r="D3" s="8">
        <f>_xlfn.STDEV.S('Daily Returns'!D2:D251)*SQRT(252)</f>
        <v>0.2409146500328147</v>
      </c>
      <c r="E3" s="8">
        <f>_xlfn.STDEV.S('Daily Returns'!E2:E251)*SQRT(252)</f>
        <v>0.26129411537624253</v>
      </c>
      <c r="F3" s="8">
        <f>_xlfn.STDEV.S('Daily Returns'!F2:F251)*SQRT(252)</f>
        <v>0.18872638197057251</v>
      </c>
    </row>
    <row r="4" spans="1:13" ht="15" thickBot="1" x14ac:dyDescent="0.35">
      <c r="A4" s="13"/>
    </row>
    <row r="5" spans="1:13" ht="15" thickBot="1" x14ac:dyDescent="0.35">
      <c r="A5" s="26" t="s">
        <v>40</v>
      </c>
      <c r="B5" s="27"/>
      <c r="C5" s="27"/>
      <c r="D5" s="27"/>
      <c r="E5" s="27"/>
      <c r="F5" s="28"/>
      <c r="H5" s="26" t="s">
        <v>39</v>
      </c>
      <c r="I5" s="27"/>
      <c r="J5" s="27"/>
      <c r="K5" s="27"/>
      <c r="L5" s="27"/>
      <c r="M5" s="28"/>
    </row>
    <row r="6" spans="1:13" ht="15" thickBot="1" x14ac:dyDescent="0.35"/>
    <row r="7" spans="1:13" x14ac:dyDescent="0.3">
      <c r="A7" s="12"/>
      <c r="B7" s="12" t="s">
        <v>12</v>
      </c>
      <c r="C7" s="12" t="s">
        <v>13</v>
      </c>
      <c r="D7" s="12" t="s">
        <v>14</v>
      </c>
      <c r="E7" s="12" t="s">
        <v>15</v>
      </c>
      <c r="F7" s="12" t="s">
        <v>16</v>
      </c>
      <c r="H7" s="12"/>
      <c r="I7" s="12" t="s">
        <v>12</v>
      </c>
      <c r="J7" s="12" t="s">
        <v>13</v>
      </c>
      <c r="K7" s="12" t="s">
        <v>14</v>
      </c>
      <c r="L7" s="12" t="s">
        <v>15</v>
      </c>
      <c r="M7" s="12" t="s">
        <v>16</v>
      </c>
    </row>
    <row r="8" spans="1:13" x14ac:dyDescent="0.3">
      <c r="A8" t="s">
        <v>12</v>
      </c>
      <c r="B8">
        <f>I8*252</f>
        <v>0.11487996186943325</v>
      </c>
      <c r="C8">
        <f t="shared" ref="C8:F12" si="0">J8*252</f>
        <v>2.7933632559859447E-2</v>
      </c>
      <c r="D8">
        <f t="shared" si="0"/>
        <v>6.2826915866165201E-3</v>
      </c>
      <c r="E8">
        <f t="shared" si="0"/>
        <v>-1.0805508502525507E-3</v>
      </c>
      <c r="F8">
        <f t="shared" si="0"/>
        <v>2.2420596914459238E-3</v>
      </c>
      <c r="H8" t="s">
        <v>12</v>
      </c>
      <c r="I8">
        <f>_xlfn.COVARIANCE.S('Daily Returns'!B2:B250, 'Daily Returns'!$B$2:$B$250)</f>
        <v>4.5587286456124303E-4</v>
      </c>
      <c r="J8">
        <f>_xlfn.COVARIANCE.S('Daily Returns'!C2:C250, 'Daily Returns'!$B$2:$B$250)</f>
        <v>1.108477482534105E-4</v>
      </c>
      <c r="K8">
        <f>_xlfn.COVARIANCE.S('Daily Returns'!D2:D250, 'Daily Returns'!$B$2:$B$250)</f>
        <v>2.4931315819906826E-5</v>
      </c>
      <c r="L8">
        <f>_xlfn.COVARIANCE.S('Daily Returns'!E2:E250, 'Daily Returns'!$B$2:$B$250)</f>
        <v>-4.287900199414884E-6</v>
      </c>
      <c r="M8">
        <f>_xlfn.COVARIANCE.S('Daily Returns'!F2:F250, 'Daily Returns'!$B$2:$B$250)</f>
        <v>8.8970622676425545E-6</v>
      </c>
    </row>
    <row r="9" spans="1:13" x14ac:dyDescent="0.3">
      <c r="A9" t="s">
        <v>13</v>
      </c>
      <c r="B9">
        <f t="shared" ref="B9:B12" si="1">I9*252</f>
        <v>2.7933632559859447E-2</v>
      </c>
      <c r="C9">
        <f t="shared" si="0"/>
        <v>5.1515600512715726E-2</v>
      </c>
      <c r="D9">
        <f t="shared" si="0"/>
        <v>1.5709355243338507E-2</v>
      </c>
      <c r="E9">
        <f t="shared" si="0"/>
        <v>2.1485274564718035E-2</v>
      </c>
      <c r="F9">
        <f t="shared" si="0"/>
        <v>1.6115093965797668E-2</v>
      </c>
      <c r="H9" t="s">
        <v>13</v>
      </c>
      <c r="I9">
        <f>_xlfn.COVARIANCE.S('Daily Returns'!B2:B250, 'Daily Returns'!$C$2:$C$250)</f>
        <v>1.108477482534105E-4</v>
      </c>
      <c r="J9">
        <f>_xlfn.COVARIANCE.S('Daily Returns'!C2:C250, 'Daily Returns'!$C$2:$C$250)</f>
        <v>2.0442698616157033E-4</v>
      </c>
      <c r="K9">
        <f>_xlfn.COVARIANCE.S('Daily Returns'!D2:D250, 'Daily Returns'!$C$2:$C$250)</f>
        <v>6.2338711283089311E-5</v>
      </c>
      <c r="L9">
        <f>_xlfn.COVARIANCE.S('Daily Returns'!E2:E250, 'Daily Returns'!$C$2:$C$250)</f>
        <v>8.5259026050468387E-5</v>
      </c>
      <c r="M9">
        <f>_xlfn.COVARIANCE.S('Daily Returns'!F2:F250, 'Daily Returns'!$C$2:$C$250)</f>
        <v>6.3948785578562181E-5</v>
      </c>
    </row>
    <row r="10" spans="1:13" x14ac:dyDescent="0.3">
      <c r="A10" t="s">
        <v>14</v>
      </c>
      <c r="B10">
        <f t="shared" si="1"/>
        <v>6.2826915866165201E-3</v>
      </c>
      <c r="C10">
        <f t="shared" si="0"/>
        <v>1.5709355243338507E-2</v>
      </c>
      <c r="D10">
        <f t="shared" si="0"/>
        <v>5.8039868600433593E-2</v>
      </c>
      <c r="E10">
        <f t="shared" si="0"/>
        <v>1.5247426884560772E-2</v>
      </c>
      <c r="F10">
        <f t="shared" si="0"/>
        <v>1.0177038390425476E-2</v>
      </c>
      <c r="H10" t="s">
        <v>14</v>
      </c>
      <c r="I10">
        <f>_xlfn.COVARIANCE.S('Daily Returns'!B2:B250, 'Daily Returns'!$D$2:$D$250)</f>
        <v>2.4931315819906826E-5</v>
      </c>
      <c r="J10">
        <f>_xlfn.COVARIANCE.S('Daily Returns'!C2:C250, 'Daily Returns'!$D$2:$D$250)</f>
        <v>6.2338711283089311E-5</v>
      </c>
      <c r="K10">
        <f>_xlfn.COVARIANCE.S('Daily Returns'!D2:D250, 'Daily Returns'!$D$2:$D$250)</f>
        <v>2.3031693889060949E-4</v>
      </c>
      <c r="L10">
        <f>_xlfn.COVARIANCE.S('Daily Returns'!E2:E250, 'Daily Returns'!$D$2:$D$250)</f>
        <v>6.0505662240320522E-5</v>
      </c>
      <c r="M10">
        <f>_xlfn.COVARIANCE.S('Daily Returns'!F2:F250, 'Daily Returns'!$D$2:$D$250)</f>
        <v>4.0385072977878874E-5</v>
      </c>
    </row>
    <row r="11" spans="1:13" x14ac:dyDescent="0.3">
      <c r="A11" t="s">
        <v>15</v>
      </c>
      <c r="B11">
        <f t="shared" si="1"/>
        <v>-1.0805508502525507E-3</v>
      </c>
      <c r="C11">
        <f t="shared" si="0"/>
        <v>2.1485274564718035E-2</v>
      </c>
      <c r="D11">
        <f t="shared" si="0"/>
        <v>1.5247426884560772E-2</v>
      </c>
      <c r="E11">
        <f t="shared" si="0"/>
        <v>6.8274614730253119E-2</v>
      </c>
      <c r="F11">
        <f t="shared" si="0"/>
        <v>1.6816722883180847E-2</v>
      </c>
      <c r="H11" t="s">
        <v>15</v>
      </c>
      <c r="I11">
        <f>_xlfn.COVARIANCE.S('Daily Returns'!B2:B250, 'Daily Returns'!$E$2:$E$250)</f>
        <v>-4.287900199414884E-6</v>
      </c>
      <c r="J11">
        <f>_xlfn.COVARIANCE.S('Daily Returns'!C2:C250, 'Daily Returns'!$E$2:$E$250)</f>
        <v>8.5259026050468387E-5</v>
      </c>
      <c r="K11">
        <f>_xlfn.COVARIANCE.S('Daily Returns'!D2:D250, 'Daily Returns'!$E$2:$E$250)</f>
        <v>6.0505662240320522E-5</v>
      </c>
      <c r="L11">
        <f>_xlfn.COVARIANCE.S('Daily Returns'!E2:E250, 'Daily Returns'!$E$2:$E$250)</f>
        <v>2.7093101083433779E-4</v>
      </c>
      <c r="M11">
        <f>_xlfn.COVARIANCE.S('Daily Returns'!F2:F250, 'Daily Returns'!$E$2:$E$250)</f>
        <v>6.6733027314209704E-5</v>
      </c>
    </row>
    <row r="12" spans="1:13" ht="15" thickBot="1" x14ac:dyDescent="0.35">
      <c r="A12" s="11" t="s">
        <v>16</v>
      </c>
      <c r="B12" s="11">
        <f t="shared" si="1"/>
        <v>2.2420596914459238E-3</v>
      </c>
      <c r="C12" s="11">
        <f t="shared" si="0"/>
        <v>1.6115093965797668E-2</v>
      </c>
      <c r="D12" s="11">
        <f t="shared" si="0"/>
        <v>1.0177038390425476E-2</v>
      </c>
      <c r="E12" s="11">
        <f t="shared" si="0"/>
        <v>1.6816722883180847E-2</v>
      </c>
      <c r="F12" s="11">
        <f t="shared" si="0"/>
        <v>3.5617647251702432E-2</v>
      </c>
      <c r="H12" s="11" t="s">
        <v>16</v>
      </c>
      <c r="I12" s="11">
        <f>_xlfn.COVARIANCE.S('Daily Returns'!B2:B250, 'Daily Returns'!$F$2:$F$250)</f>
        <v>8.8970622676425545E-6</v>
      </c>
      <c r="J12" s="11">
        <f>_xlfn.COVARIANCE.S('Daily Returns'!C2:C250, 'Daily Returns'!$F$2:$F$250)</f>
        <v>6.3948785578562181E-5</v>
      </c>
      <c r="K12" s="11">
        <f>_xlfn.COVARIANCE.S('Daily Returns'!D2:D250, 'Daily Returns'!$F$2:$F$250)</f>
        <v>4.0385072977878874E-5</v>
      </c>
      <c r="L12" s="11">
        <f>_xlfn.COVARIANCE.S('Daily Returns'!E2:E250, 'Daily Returns'!$F$2:$F$250)</f>
        <v>6.6733027314209704E-5</v>
      </c>
      <c r="M12" s="11">
        <f>_xlfn.COVARIANCE.S('Daily Returns'!F2:F250, 'Daily Returns'!$F$2:$F$250)</f>
        <v>1.4133987004643823E-4</v>
      </c>
    </row>
    <row r="13" spans="1:13" ht="15" thickBot="1" x14ac:dyDescent="0.35"/>
    <row r="14" spans="1:13" ht="15" thickBot="1" x14ac:dyDescent="0.35">
      <c r="A14" s="26" t="s">
        <v>38</v>
      </c>
      <c r="B14" s="27"/>
      <c r="C14" s="27"/>
      <c r="D14" s="27"/>
      <c r="E14" s="27"/>
      <c r="F14" s="27"/>
      <c r="G14" s="27"/>
      <c r="H14" s="28"/>
    </row>
    <row r="16" spans="1:13" x14ac:dyDescent="0.3">
      <c r="A16" s="6" t="s">
        <v>17</v>
      </c>
      <c r="B16" s="6" t="s">
        <v>20</v>
      </c>
      <c r="C16" s="6" t="s">
        <v>21</v>
      </c>
      <c r="D16" s="6" t="s">
        <v>22</v>
      </c>
      <c r="E16" s="6" t="s">
        <v>23</v>
      </c>
      <c r="F16" s="6" t="s">
        <v>24</v>
      </c>
      <c r="G16" s="6" t="s">
        <v>28</v>
      </c>
      <c r="H16" s="6" t="s">
        <v>37</v>
      </c>
      <c r="I16" s="6" t="s">
        <v>36</v>
      </c>
    </row>
    <row r="17" spans="1:9" x14ac:dyDescent="0.3">
      <c r="A17" s="14" t="s">
        <v>30</v>
      </c>
      <c r="B17" s="15">
        <v>0.16216087576293775</v>
      </c>
      <c r="C17" s="15">
        <v>0.18772630455532521</v>
      </c>
      <c r="D17" s="15">
        <v>0.17849742982286898</v>
      </c>
      <c r="E17" s="15">
        <v>0.21866812687052739</v>
      </c>
      <c r="F17" s="15">
        <v>0.25294726298834053</v>
      </c>
      <c r="G17" s="8">
        <f>SUM(B17:F17)</f>
        <v>0.99999999999999978</v>
      </c>
      <c r="H17" s="8">
        <v>0.08</v>
      </c>
      <c r="I17" s="8">
        <f>SQRT(B25)</f>
        <v>0.15072346899814962</v>
      </c>
    </row>
    <row r="18" spans="1:9" x14ac:dyDescent="0.3">
      <c r="A18" s="14" t="s">
        <v>31</v>
      </c>
      <c r="B18" s="15">
        <v>0.21789003828794515</v>
      </c>
      <c r="C18" s="15">
        <v>0.20580290600977344</v>
      </c>
      <c r="D18" s="15">
        <v>0.2101662448990117</v>
      </c>
      <c r="E18" s="15">
        <v>0.19117385745014581</v>
      </c>
      <c r="F18" s="15">
        <v>0.17496695335312393</v>
      </c>
      <c r="G18" s="8">
        <f t="shared" ref="G18:G21" si="2">SUM(B18:F18)</f>
        <v>1</v>
      </c>
      <c r="H18" s="8">
        <v>0.1</v>
      </c>
      <c r="I18" s="8">
        <f>SQRT(C25)</f>
        <v>0.15574227278031735</v>
      </c>
    </row>
    <row r="19" spans="1:9" x14ac:dyDescent="0.3">
      <c r="A19" s="14" t="s">
        <v>32</v>
      </c>
      <c r="B19" s="15">
        <v>0.27361894005822096</v>
      </c>
      <c r="C19" s="15">
        <v>0.2238794228844587</v>
      </c>
      <c r="D19" s="15">
        <v>0.24183491179791661</v>
      </c>
      <c r="E19" s="15">
        <v>0.16367971667445427</v>
      </c>
      <c r="F19" s="15">
        <v>9.6987008584949491E-2</v>
      </c>
      <c r="G19" s="8">
        <f t="shared" si="2"/>
        <v>1</v>
      </c>
      <c r="H19" s="8">
        <v>0.12</v>
      </c>
      <c r="I19" s="8">
        <f>SQRT(D25)</f>
        <v>0.16495857319200213</v>
      </c>
    </row>
    <row r="20" spans="1:9" x14ac:dyDescent="0.3">
      <c r="A20" s="14" t="s">
        <v>33</v>
      </c>
      <c r="B20" s="15">
        <v>0.32060435218637973</v>
      </c>
      <c r="C20" s="15">
        <v>0.2645002019732296</v>
      </c>
      <c r="D20" s="15">
        <v>0.31299939171704283</v>
      </c>
      <c r="E20" s="15">
        <v>0.1018960541233479</v>
      </c>
      <c r="F20" s="15">
        <v>0</v>
      </c>
      <c r="G20" s="8">
        <f t="shared" si="2"/>
        <v>1</v>
      </c>
      <c r="H20" s="8">
        <v>0.15</v>
      </c>
      <c r="I20" s="8">
        <f>SQRT(E25)</f>
        <v>0.18018567107415309</v>
      </c>
    </row>
    <row r="21" spans="1:9" x14ac:dyDescent="0.3">
      <c r="A21" s="14" t="s">
        <v>34</v>
      </c>
      <c r="B21" s="15">
        <v>6.9027852952654858E-2</v>
      </c>
      <c r="C21" s="15">
        <v>0.39294585421121453</v>
      </c>
      <c r="D21" s="15">
        <v>0.53802629283613068</v>
      </c>
      <c r="E21" s="15">
        <v>0</v>
      </c>
      <c r="F21" s="15">
        <v>0</v>
      </c>
      <c r="G21" s="8">
        <f t="shared" si="2"/>
        <v>1</v>
      </c>
      <c r="H21" s="8">
        <v>0.18</v>
      </c>
      <c r="I21" s="8">
        <f>SQRT(F25)</f>
        <v>0.18419302712113983</v>
      </c>
    </row>
    <row r="22" spans="1:9" x14ac:dyDescent="0.3">
      <c r="A22" s="10"/>
      <c r="B22" s="2"/>
      <c r="C22" s="2"/>
      <c r="D22" s="2"/>
      <c r="E22" s="2"/>
      <c r="F22" s="2"/>
    </row>
    <row r="23" spans="1:9" x14ac:dyDescent="0.3">
      <c r="A23" s="10"/>
    </row>
    <row r="24" spans="1:9" x14ac:dyDescent="0.3">
      <c r="A24" s="10" t="s">
        <v>29</v>
      </c>
      <c r="B24">
        <f>SUMPRODUCT(B17:F17,$B$2:$F$2)</f>
        <v>7.999999999999996E-2</v>
      </c>
      <c r="C24">
        <f>SUMPRODUCT(B18:F18,$B$2:$F$2)</f>
        <v>0.10000009357971286</v>
      </c>
      <c r="D24">
        <f>SUMPRODUCT(B19:F19,$B$2:$F$2)</f>
        <v>0.12000009357971284</v>
      </c>
      <c r="E24">
        <f>SUMPRODUCT(B20:F20,$B$2:$F$2)</f>
        <v>0.15000009357971286</v>
      </c>
      <c r="F24">
        <f>SUMPRODUCT(B21:F21,$B$2:$F$2)</f>
        <v>0.18000009357971286</v>
      </c>
    </row>
    <row r="25" spans="1:9" x14ac:dyDescent="0.3">
      <c r="A25" s="10" t="s">
        <v>35</v>
      </c>
      <c r="B25">
        <f t="array" ref="B25">MMULT(MMULT(B17:F17, $B$8:$F$12), TRANSPOSE(B17:F17))</f>
        <v>2.2717564106836171E-2</v>
      </c>
      <c r="C25">
        <f t="array" ref="C25">MMULT(MMULT(B18:F18, $B$8:$F$12), TRANSPOSE(B18:F18))</f>
        <v>2.4255655530778776E-2</v>
      </c>
      <c r="D25">
        <f t="array" ref="D25">MMULT(MMULT(B19:F19, $B$8:$F$12), TRANSPOSE(B19:F19))</f>
        <v>2.7211330869541129E-2</v>
      </c>
      <c r="E25">
        <f t="array" ref="E25">MMULT(MMULT(B20:F20, $B$8:$F$12), TRANSPOSE(B20:F20))</f>
        <v>3.2466876060442885E-2</v>
      </c>
      <c r="F25">
        <f t="array" ref="F25">MMULT(MMULT(B21:F21, $B$8:$F$12), TRANSPOSE(B21:F21))</f>
        <v>3.3927071240048949E-2</v>
      </c>
    </row>
  </sheetData>
  <mergeCells count="3">
    <mergeCell ref="A5:F5"/>
    <mergeCell ref="A14:H14"/>
    <mergeCell ref="H5:M5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9"/>
  <sheetViews>
    <sheetView workbookViewId="0">
      <selection activeCell="E14" sqref="E14"/>
    </sheetView>
  </sheetViews>
  <sheetFormatPr defaultRowHeight="14.4" x14ac:dyDescent="0.3"/>
  <cols>
    <col min="1" max="1" width="17.6640625" customWidth="1"/>
    <col min="2" max="2" width="19.88671875" customWidth="1"/>
    <col min="3" max="3" width="23" customWidth="1"/>
    <col min="4" max="4" width="17.109375" customWidth="1"/>
    <col min="5" max="5" width="21.44140625" customWidth="1"/>
  </cols>
  <sheetData>
    <row r="1" spans="1:5" x14ac:dyDescent="0.3">
      <c r="A1" s="6" t="s">
        <v>41</v>
      </c>
      <c r="B1" s="6" t="s">
        <v>42</v>
      </c>
      <c r="C1" s="6" t="s">
        <v>43</v>
      </c>
      <c r="D1" s="6" t="s">
        <v>45</v>
      </c>
      <c r="E1" s="6" t="s">
        <v>47</v>
      </c>
    </row>
    <row r="2" spans="1:5" x14ac:dyDescent="0.3">
      <c r="A2" s="8">
        <v>1</v>
      </c>
      <c r="B2" s="8">
        <v>0.08</v>
      </c>
      <c r="C2" s="8">
        <v>0.150723469</v>
      </c>
      <c r="D2" s="8">
        <f>(B2-$B$8)/C2</f>
        <v>0.43125334383061475</v>
      </c>
      <c r="E2" s="8">
        <f>$B$8+$B$9*C2</f>
        <v>0.15001799058332427</v>
      </c>
    </row>
    <row r="3" spans="1:5" x14ac:dyDescent="0.3">
      <c r="A3" s="8">
        <v>2</v>
      </c>
      <c r="B3" s="8">
        <v>0.1</v>
      </c>
      <c r="C3" s="8">
        <v>0.15574227299999999</v>
      </c>
      <c r="D3" s="8">
        <f t="shared" ref="D3:D6" si="0">(B3-$B$8)/C3</f>
        <v>0.54577346511438174</v>
      </c>
      <c r="E3" s="8">
        <f t="shared" ref="E3:E6" si="1">$B$8+$B$9*C3</f>
        <v>0.1545138321115706</v>
      </c>
    </row>
    <row r="4" spans="1:5" x14ac:dyDescent="0.3">
      <c r="A4" s="8">
        <v>3</v>
      </c>
      <c r="B4" s="8">
        <v>0.12</v>
      </c>
      <c r="C4" s="8">
        <v>0.164958573</v>
      </c>
      <c r="D4" s="8">
        <f t="shared" si="0"/>
        <v>0.63652345004221145</v>
      </c>
      <c r="E4" s="8">
        <f t="shared" si="1"/>
        <v>0.16276978796814057</v>
      </c>
    </row>
    <row r="5" spans="1:5" x14ac:dyDescent="0.3">
      <c r="A5" s="8">
        <v>4</v>
      </c>
      <c r="B5" s="8">
        <v>0.15</v>
      </c>
      <c r="C5" s="8">
        <v>0.18018567099999999</v>
      </c>
      <c r="D5" s="8">
        <f t="shared" si="0"/>
        <v>0.74922716801382072</v>
      </c>
      <c r="E5" s="8">
        <f t="shared" si="1"/>
        <v>0.1764102129664224</v>
      </c>
    </row>
    <row r="6" spans="1:5" x14ac:dyDescent="0.3">
      <c r="A6" s="8">
        <v>5</v>
      </c>
      <c r="B6" s="8">
        <v>0.18</v>
      </c>
      <c r="C6" s="8">
        <v>0.18419302700000001</v>
      </c>
      <c r="D6" s="8">
        <f t="shared" si="0"/>
        <v>0.89579938332844689</v>
      </c>
      <c r="E6" s="8">
        <f t="shared" si="1"/>
        <v>0.18</v>
      </c>
    </row>
    <row r="8" spans="1:5" x14ac:dyDescent="0.3">
      <c r="A8" s="10" t="s">
        <v>44</v>
      </c>
      <c r="B8">
        <v>1.4999999999999999E-2</v>
      </c>
    </row>
    <row r="9" spans="1:5" x14ac:dyDescent="0.3">
      <c r="A9" s="10" t="s">
        <v>46</v>
      </c>
      <c r="B9">
        <f>MAX(D2:D6)</f>
        <v>0.89579938332844689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128"/>
  <sheetViews>
    <sheetView zoomScaleNormal="100" workbookViewId="0">
      <selection activeCell="D131" sqref="D131"/>
    </sheetView>
  </sheetViews>
  <sheetFormatPr defaultRowHeight="14.4" x14ac:dyDescent="0.3"/>
  <cols>
    <col min="1" max="1" width="29.33203125" customWidth="1"/>
    <col min="2" max="2" width="17.109375" customWidth="1"/>
    <col min="3" max="3" width="30.6640625" customWidth="1"/>
    <col min="4" max="4" width="34.88671875" customWidth="1"/>
    <col min="5" max="5" width="30.109375" customWidth="1"/>
    <col min="6" max="6" width="14" customWidth="1"/>
    <col min="7" max="7" width="15.5546875" customWidth="1"/>
    <col min="8" max="8" width="16.6640625" customWidth="1"/>
    <col min="9" max="9" width="16.109375" customWidth="1"/>
  </cols>
  <sheetData>
    <row r="1" spans="1:9" ht="15" thickBot="1" x14ac:dyDescent="0.35">
      <c r="A1" s="26" t="s">
        <v>50</v>
      </c>
      <c r="B1" s="27"/>
      <c r="C1" s="27"/>
      <c r="D1" s="27"/>
      <c r="E1" s="27"/>
      <c r="F1" s="27"/>
      <c r="G1" s="27"/>
      <c r="H1" s="27"/>
      <c r="I1" s="28"/>
    </row>
    <row r="3" spans="1:9" x14ac:dyDescent="0.3">
      <c r="A3" s="31" t="s">
        <v>74</v>
      </c>
      <c r="B3" s="31"/>
      <c r="C3" s="31"/>
      <c r="D3" s="31"/>
      <c r="E3" s="31"/>
      <c r="F3" s="31"/>
      <c r="G3" s="31"/>
      <c r="H3" s="31"/>
      <c r="I3" s="31"/>
    </row>
    <row r="4" spans="1:9" ht="15" thickBot="1" x14ac:dyDescent="0.35"/>
    <row r="5" spans="1:9" x14ac:dyDescent="0.3">
      <c r="A5" s="17" t="s">
        <v>51</v>
      </c>
      <c r="B5" s="17"/>
    </row>
    <row r="6" spans="1:9" x14ac:dyDescent="0.3">
      <c r="A6" t="s">
        <v>52</v>
      </c>
      <c r="B6">
        <v>0.46205894340895876</v>
      </c>
    </row>
    <row r="7" spans="1:9" x14ac:dyDescent="0.3">
      <c r="A7" t="s">
        <v>53</v>
      </c>
      <c r="B7">
        <v>0.21349846718420334</v>
      </c>
    </row>
    <row r="8" spans="1:9" x14ac:dyDescent="0.3">
      <c r="A8" t="s">
        <v>54</v>
      </c>
      <c r="B8">
        <v>0.21031425045215557</v>
      </c>
    </row>
    <row r="9" spans="1:9" x14ac:dyDescent="0.3">
      <c r="A9" t="s">
        <v>55</v>
      </c>
      <c r="B9">
        <v>1.8973568582361308E-2</v>
      </c>
    </row>
    <row r="10" spans="1:9" ht="15" thickBot="1" x14ac:dyDescent="0.35">
      <c r="A10" s="11" t="s">
        <v>56</v>
      </c>
      <c r="B10" s="11">
        <v>249</v>
      </c>
    </row>
    <row r="12" spans="1:9" ht="15" thickBot="1" x14ac:dyDescent="0.35">
      <c r="A12" t="s">
        <v>57</v>
      </c>
    </row>
    <row r="13" spans="1:9" x14ac:dyDescent="0.3">
      <c r="A13" s="12"/>
      <c r="B13" s="12" t="s">
        <v>62</v>
      </c>
      <c r="C13" s="12" t="s">
        <v>63</v>
      </c>
      <c r="D13" s="12" t="s">
        <v>64</v>
      </c>
      <c r="E13" s="12" t="s">
        <v>65</v>
      </c>
      <c r="F13" s="12" t="s">
        <v>66</v>
      </c>
    </row>
    <row r="14" spans="1:9" x14ac:dyDescent="0.3">
      <c r="A14" t="s">
        <v>58</v>
      </c>
      <c r="B14">
        <v>1</v>
      </c>
      <c r="C14">
        <v>2.4137383138044935E-2</v>
      </c>
      <c r="D14">
        <v>2.4137383138044935E-2</v>
      </c>
      <c r="E14">
        <v>67.048974724438168</v>
      </c>
      <c r="F14">
        <v>1.4228094435027982E-14</v>
      </c>
    </row>
    <row r="15" spans="1:9" x14ac:dyDescent="0.3">
      <c r="A15" t="s">
        <v>59</v>
      </c>
      <c r="B15">
        <v>247</v>
      </c>
      <c r="C15">
        <v>8.8919087273143335E-2</v>
      </c>
      <c r="D15">
        <v>3.5999630474956815E-4</v>
      </c>
    </row>
    <row r="16" spans="1:9" ht="15" thickBot="1" x14ac:dyDescent="0.35">
      <c r="A16" s="11" t="s">
        <v>60</v>
      </c>
      <c r="B16" s="11">
        <v>248</v>
      </c>
      <c r="C16" s="11">
        <v>0.11305647041118827</v>
      </c>
      <c r="D16" s="11"/>
      <c r="E16" s="11"/>
      <c r="F16" s="11"/>
    </row>
    <row r="17" spans="1:9" ht="15" thickBot="1" x14ac:dyDescent="0.35"/>
    <row r="18" spans="1:9" x14ac:dyDescent="0.3">
      <c r="A18" s="12"/>
      <c r="B18" s="12" t="s">
        <v>67</v>
      </c>
      <c r="C18" s="12" t="s">
        <v>55</v>
      </c>
      <c r="D18" s="12" t="s">
        <v>68</v>
      </c>
      <c r="E18" s="12" t="s">
        <v>69</v>
      </c>
      <c r="F18" s="12" t="s">
        <v>70</v>
      </c>
      <c r="G18" s="12" t="s">
        <v>71</v>
      </c>
      <c r="H18" s="12" t="s">
        <v>72</v>
      </c>
      <c r="I18" s="12" t="s">
        <v>73</v>
      </c>
    </row>
    <row r="19" spans="1:9" x14ac:dyDescent="0.3">
      <c r="A19" t="s">
        <v>61</v>
      </c>
      <c r="B19">
        <v>-1.7428580814604638E-4</v>
      </c>
      <c r="C19">
        <v>1.2050504290711443E-3</v>
      </c>
      <c r="D19">
        <v>-0.14462947271043777</v>
      </c>
      <c r="E19">
        <v>0.88512136688588416</v>
      </c>
      <c r="F19">
        <v>-2.547770913984497E-3</v>
      </c>
      <c r="G19">
        <v>2.1991992976924044E-3</v>
      </c>
      <c r="H19">
        <v>-2.547770913984497E-3</v>
      </c>
      <c r="I19">
        <v>2.1991992976924044E-3</v>
      </c>
    </row>
    <row r="20" spans="1:9" ht="15" thickBot="1" x14ac:dyDescent="0.35">
      <c r="A20" s="11" t="s">
        <v>49</v>
      </c>
      <c r="B20" s="11">
        <v>0.83903786874586406</v>
      </c>
      <c r="C20" s="11">
        <v>0.10246734698452174</v>
      </c>
      <c r="D20" s="11">
        <v>8.188343832817349</v>
      </c>
      <c r="E20" s="11">
        <v>1.4228094435029257E-14</v>
      </c>
      <c r="F20" s="11">
        <v>0.63721667020066652</v>
      </c>
      <c r="G20" s="11">
        <v>1.0408590672910616</v>
      </c>
      <c r="H20" s="11">
        <v>0.63721667020066652</v>
      </c>
      <c r="I20" s="11">
        <v>1.0408590672910616</v>
      </c>
    </row>
    <row r="24" spans="1:9" x14ac:dyDescent="0.3">
      <c r="A24" s="31" t="s">
        <v>75</v>
      </c>
      <c r="B24" s="31"/>
      <c r="C24" s="31"/>
      <c r="D24" s="31"/>
      <c r="E24" s="31"/>
      <c r="F24" s="31"/>
      <c r="G24" s="31"/>
      <c r="H24" s="31"/>
      <c r="I24" s="31"/>
    </row>
    <row r="25" spans="1:9" ht="15" thickBot="1" x14ac:dyDescent="0.35"/>
    <row r="26" spans="1:9" x14ac:dyDescent="0.3">
      <c r="A26" s="17" t="s">
        <v>51</v>
      </c>
      <c r="B26" s="17"/>
    </row>
    <row r="27" spans="1:9" x14ac:dyDescent="0.3">
      <c r="A27" t="s">
        <v>52</v>
      </c>
      <c r="B27">
        <v>0.64648610724942845</v>
      </c>
    </row>
    <row r="28" spans="1:9" x14ac:dyDescent="0.3">
      <c r="A28" t="s">
        <v>53</v>
      </c>
      <c r="B28">
        <v>0.41794428686651958</v>
      </c>
    </row>
    <row r="29" spans="1:9" x14ac:dyDescent="0.3">
      <c r="A29" t="s">
        <v>54</v>
      </c>
      <c r="B29">
        <v>0.415587786003631</v>
      </c>
    </row>
    <row r="30" spans="1:9" x14ac:dyDescent="0.3">
      <c r="A30" t="s">
        <v>55</v>
      </c>
      <c r="B30">
        <v>1.0930216264250604E-2</v>
      </c>
    </row>
    <row r="31" spans="1:9" ht="15" thickBot="1" x14ac:dyDescent="0.35">
      <c r="A31" s="11" t="s">
        <v>56</v>
      </c>
      <c r="B31" s="11">
        <v>249</v>
      </c>
    </row>
    <row r="33" spans="1:9" ht="15" thickBot="1" x14ac:dyDescent="0.35">
      <c r="A33" t="s">
        <v>57</v>
      </c>
    </row>
    <row r="34" spans="1:9" x14ac:dyDescent="0.3">
      <c r="A34" s="12"/>
      <c r="B34" s="12" t="s">
        <v>62</v>
      </c>
      <c r="C34" s="12" t="s">
        <v>63</v>
      </c>
      <c r="D34" s="12" t="s">
        <v>64</v>
      </c>
      <c r="E34" s="12" t="s">
        <v>65</v>
      </c>
      <c r="F34" s="12" t="s">
        <v>66</v>
      </c>
    </row>
    <row r="35" spans="1:9" x14ac:dyDescent="0.3">
      <c r="A35" t="s">
        <v>58</v>
      </c>
      <c r="B35">
        <v>1</v>
      </c>
      <c r="C35">
        <v>2.1188894554997204E-2</v>
      </c>
      <c r="D35">
        <v>2.1188894554997204E-2</v>
      </c>
      <c r="E35">
        <v>177.35800289680606</v>
      </c>
      <c r="F35">
        <v>7.3336347189144504E-31</v>
      </c>
    </row>
    <row r="36" spans="1:9" x14ac:dyDescent="0.3">
      <c r="A36" t="s">
        <v>59</v>
      </c>
      <c r="B36">
        <v>247</v>
      </c>
      <c r="C36">
        <v>2.9508998013072236E-2</v>
      </c>
      <c r="D36">
        <v>1.194696275832884E-4</v>
      </c>
    </row>
    <row r="37" spans="1:9" ht="15" thickBot="1" x14ac:dyDescent="0.35">
      <c r="A37" s="11" t="s">
        <v>60</v>
      </c>
      <c r="B37" s="11">
        <v>248</v>
      </c>
      <c r="C37" s="11">
        <v>5.069789256806944E-2</v>
      </c>
      <c r="D37" s="11"/>
      <c r="E37" s="11"/>
      <c r="F37" s="11"/>
    </row>
    <row r="38" spans="1:9" ht="15" thickBot="1" x14ac:dyDescent="0.35"/>
    <row r="39" spans="1:9" x14ac:dyDescent="0.3">
      <c r="A39" s="12"/>
      <c r="B39" s="12" t="s">
        <v>67</v>
      </c>
      <c r="C39" s="12" t="s">
        <v>55</v>
      </c>
      <c r="D39" s="12" t="s">
        <v>68</v>
      </c>
      <c r="E39" s="12" t="s">
        <v>69</v>
      </c>
      <c r="F39" s="12" t="s">
        <v>70</v>
      </c>
      <c r="G39" s="12" t="s">
        <v>71</v>
      </c>
      <c r="H39" s="12" t="s">
        <v>72</v>
      </c>
      <c r="I39" s="12" t="s">
        <v>73</v>
      </c>
    </row>
    <row r="40" spans="1:9" x14ac:dyDescent="0.3">
      <c r="A40" t="s">
        <v>61</v>
      </c>
      <c r="B40">
        <v>4.2631412050707904E-5</v>
      </c>
      <c r="C40">
        <v>6.942005528322372E-4</v>
      </c>
      <c r="D40">
        <v>6.1410801067181449E-2</v>
      </c>
      <c r="E40">
        <v>0.9510817123615215</v>
      </c>
      <c r="F40">
        <v>-1.3246762398640465E-3</v>
      </c>
      <c r="G40">
        <v>1.4099390639654621E-3</v>
      </c>
      <c r="H40">
        <v>-1.3246762398640465E-3</v>
      </c>
      <c r="I40">
        <v>1.4099390639654621E-3</v>
      </c>
    </row>
    <row r="41" spans="1:9" ht="15" thickBot="1" x14ac:dyDescent="0.35">
      <c r="A41" s="11" t="s">
        <v>49</v>
      </c>
      <c r="B41" s="11">
        <v>0.78612321265373752</v>
      </c>
      <c r="C41" s="11">
        <v>5.9028972736632324E-2</v>
      </c>
      <c r="D41" s="11">
        <v>13.317582471935575</v>
      </c>
      <c r="E41" s="11">
        <v>7.3336347189153928E-31</v>
      </c>
      <c r="F41" s="11">
        <v>0.66985887696835578</v>
      </c>
      <c r="G41" s="11">
        <v>0.90238754833911927</v>
      </c>
      <c r="H41" s="11">
        <v>0.66985887696835578</v>
      </c>
      <c r="I41" s="11">
        <v>0.90238754833911927</v>
      </c>
    </row>
    <row r="45" spans="1:9" x14ac:dyDescent="0.3">
      <c r="A45" s="31" t="s">
        <v>76</v>
      </c>
      <c r="B45" s="31"/>
      <c r="C45" s="31"/>
      <c r="D45" s="31"/>
      <c r="E45" s="31"/>
      <c r="F45" s="31"/>
      <c r="G45" s="31"/>
      <c r="H45" s="31"/>
      <c r="I45" s="31"/>
    </row>
    <row r="46" spans="1:9" ht="15" thickBot="1" x14ac:dyDescent="0.35"/>
    <row r="47" spans="1:9" x14ac:dyDescent="0.3">
      <c r="A47" s="17" t="s">
        <v>51</v>
      </c>
      <c r="B47" s="17"/>
    </row>
    <row r="48" spans="1:9" x14ac:dyDescent="0.3">
      <c r="A48" t="s">
        <v>52</v>
      </c>
      <c r="B48">
        <v>0.41269527912624709</v>
      </c>
    </row>
    <row r="49" spans="1:9" x14ac:dyDescent="0.3">
      <c r="A49" t="s">
        <v>53</v>
      </c>
      <c r="B49">
        <v>0.17031739341309102</v>
      </c>
    </row>
    <row r="50" spans="1:9" x14ac:dyDescent="0.3">
      <c r="A50" t="s">
        <v>54</v>
      </c>
      <c r="B50">
        <v>0.16695835452002661</v>
      </c>
    </row>
    <row r="51" spans="1:9" x14ac:dyDescent="0.3">
      <c r="A51" t="s">
        <v>55</v>
      </c>
      <c r="B51">
        <v>1.3851483738406648E-2</v>
      </c>
    </row>
    <row r="52" spans="1:9" ht="15" thickBot="1" x14ac:dyDescent="0.35">
      <c r="A52" s="11" t="s">
        <v>56</v>
      </c>
      <c r="B52" s="11">
        <v>249</v>
      </c>
    </row>
    <row r="54" spans="1:9" ht="15" thickBot="1" x14ac:dyDescent="0.35">
      <c r="A54" t="s">
        <v>57</v>
      </c>
    </row>
    <row r="55" spans="1:9" x14ac:dyDescent="0.3">
      <c r="A55" s="12"/>
      <c r="B55" s="12" t="s">
        <v>62</v>
      </c>
      <c r="C55" s="12" t="s">
        <v>63</v>
      </c>
      <c r="D55" s="12" t="s">
        <v>64</v>
      </c>
      <c r="E55" s="12" t="s">
        <v>65</v>
      </c>
      <c r="F55" s="12" t="s">
        <v>66</v>
      </c>
    </row>
    <row r="56" spans="1:9" x14ac:dyDescent="0.3">
      <c r="A56" t="s">
        <v>58</v>
      </c>
      <c r="B56">
        <v>1</v>
      </c>
      <c r="C56">
        <v>9.7282912113012335E-3</v>
      </c>
      <c r="D56">
        <v>9.7282912113012335E-3</v>
      </c>
      <c r="E56">
        <v>50.704204040255284</v>
      </c>
      <c r="F56">
        <v>1.1668993406163703E-11</v>
      </c>
    </row>
    <row r="57" spans="1:9" x14ac:dyDescent="0.3">
      <c r="A57" t="s">
        <v>59</v>
      </c>
      <c r="B57">
        <v>247</v>
      </c>
      <c r="C57">
        <v>4.7390309633569917E-2</v>
      </c>
      <c r="D57">
        <v>1.9186360175534379E-4</v>
      </c>
    </row>
    <row r="58" spans="1:9" ht="15" thickBot="1" x14ac:dyDescent="0.35">
      <c r="A58" s="11" t="s">
        <v>60</v>
      </c>
      <c r="B58" s="11">
        <v>248</v>
      </c>
      <c r="C58" s="11">
        <v>5.7118600844871151E-2</v>
      </c>
      <c r="D58" s="11"/>
      <c r="E58" s="11"/>
      <c r="F58" s="11"/>
    </row>
    <row r="59" spans="1:9" ht="15" thickBot="1" x14ac:dyDescent="0.35"/>
    <row r="60" spans="1:9" x14ac:dyDescent="0.3">
      <c r="A60" s="12"/>
      <c r="B60" s="12" t="s">
        <v>67</v>
      </c>
      <c r="C60" s="12" t="s">
        <v>55</v>
      </c>
      <c r="D60" s="12" t="s">
        <v>68</v>
      </c>
      <c r="E60" s="12" t="s">
        <v>69</v>
      </c>
      <c r="F60" s="12" t="s">
        <v>70</v>
      </c>
      <c r="G60" s="12" t="s">
        <v>71</v>
      </c>
      <c r="H60" s="12" t="s">
        <v>72</v>
      </c>
      <c r="I60" s="12" t="s">
        <v>73</v>
      </c>
    </row>
    <row r="61" spans="1:9" x14ac:dyDescent="0.3">
      <c r="A61" t="s">
        <v>61</v>
      </c>
      <c r="B61">
        <v>3.7227242119902161E-4</v>
      </c>
      <c r="C61">
        <v>8.7973626836631582E-4</v>
      </c>
      <c r="D61">
        <v>0.42316366232159258</v>
      </c>
      <c r="E61">
        <v>0.67254406223474628</v>
      </c>
      <c r="F61">
        <v>-1.3604691136451389E-3</v>
      </c>
      <c r="G61">
        <v>2.1050139560431819E-3</v>
      </c>
      <c r="H61">
        <v>-1.3604691136451389E-3</v>
      </c>
      <c r="I61">
        <v>2.1050139560431819E-3</v>
      </c>
    </row>
    <row r="62" spans="1:9" ht="15" thickBot="1" x14ac:dyDescent="0.35">
      <c r="A62" s="11" t="s">
        <v>49</v>
      </c>
      <c r="B62" s="11">
        <v>0.53266572401867807</v>
      </c>
      <c r="C62" s="11">
        <v>7.480536854797272E-2</v>
      </c>
      <c r="D62" s="11">
        <v>7.1206884526887837</v>
      </c>
      <c r="E62" s="11">
        <v>1.1668993406163196E-11</v>
      </c>
      <c r="F62" s="11">
        <v>0.38532796635966882</v>
      </c>
      <c r="G62" s="11">
        <v>0.68000348167768732</v>
      </c>
      <c r="H62" s="11">
        <v>0.38532796635966882</v>
      </c>
      <c r="I62" s="11">
        <v>0.68000348167768732</v>
      </c>
    </row>
    <row r="66" spans="1:9" x14ac:dyDescent="0.3">
      <c r="A66" s="31" t="s">
        <v>77</v>
      </c>
      <c r="B66" s="31"/>
      <c r="C66" s="31"/>
      <c r="D66" s="31"/>
      <c r="E66" s="31"/>
      <c r="F66" s="31"/>
      <c r="G66" s="31"/>
      <c r="H66" s="31"/>
      <c r="I66" s="31"/>
    </row>
    <row r="67" spans="1:9" ht="15" thickBot="1" x14ac:dyDescent="0.35"/>
    <row r="68" spans="1:9" x14ac:dyDescent="0.3">
      <c r="A68" s="17" t="s">
        <v>51</v>
      </c>
      <c r="B68" s="17"/>
    </row>
    <row r="69" spans="1:9" x14ac:dyDescent="0.3">
      <c r="A69" t="s">
        <v>52</v>
      </c>
      <c r="B69">
        <v>0.34429548905761426</v>
      </c>
    </row>
    <row r="70" spans="1:9" x14ac:dyDescent="0.3">
      <c r="A70" t="s">
        <v>53</v>
      </c>
      <c r="B70">
        <v>0.1185393837854218</v>
      </c>
    </row>
    <row r="71" spans="1:9" x14ac:dyDescent="0.3">
      <c r="A71" t="s">
        <v>54</v>
      </c>
      <c r="B71">
        <v>0.1149707173230146</v>
      </c>
    </row>
    <row r="72" spans="1:9" x14ac:dyDescent="0.3">
      <c r="A72" t="s">
        <v>55</v>
      </c>
      <c r="B72">
        <v>1.548489193290236E-2</v>
      </c>
    </row>
    <row r="73" spans="1:9" ht="15" thickBot="1" x14ac:dyDescent="0.35">
      <c r="A73" s="11" t="s">
        <v>56</v>
      </c>
      <c r="B73" s="11">
        <v>249</v>
      </c>
    </row>
    <row r="75" spans="1:9" ht="15" thickBot="1" x14ac:dyDescent="0.35">
      <c r="A75" t="s">
        <v>57</v>
      </c>
    </row>
    <row r="76" spans="1:9" x14ac:dyDescent="0.3">
      <c r="A76" s="12"/>
      <c r="B76" s="12" t="s">
        <v>62</v>
      </c>
      <c r="C76" s="12" t="s">
        <v>63</v>
      </c>
      <c r="D76" s="12" t="s">
        <v>64</v>
      </c>
      <c r="E76" s="12" t="s">
        <v>65</v>
      </c>
      <c r="F76" s="12" t="s">
        <v>66</v>
      </c>
    </row>
    <row r="77" spans="1:9" x14ac:dyDescent="0.3">
      <c r="A77" t="s">
        <v>58</v>
      </c>
      <c r="B77">
        <v>1</v>
      </c>
      <c r="C77">
        <v>7.9647667780206322E-3</v>
      </c>
      <c r="D77">
        <v>7.9647667780206322E-3</v>
      </c>
      <c r="E77">
        <v>33.216716954114709</v>
      </c>
      <c r="F77">
        <v>2.4471133277232594E-8</v>
      </c>
    </row>
    <row r="78" spans="1:9" x14ac:dyDescent="0.3">
      <c r="A78" t="s">
        <v>59</v>
      </c>
      <c r="B78">
        <v>247</v>
      </c>
      <c r="C78">
        <v>5.9226123908895145E-2</v>
      </c>
      <c r="D78">
        <v>2.3978187817366457E-4</v>
      </c>
    </row>
    <row r="79" spans="1:9" ht="15" thickBot="1" x14ac:dyDescent="0.35">
      <c r="A79" s="11" t="s">
        <v>60</v>
      </c>
      <c r="B79" s="11">
        <v>248</v>
      </c>
      <c r="C79" s="11">
        <v>6.7190890686915777E-2</v>
      </c>
      <c r="D79" s="11"/>
      <c r="E79" s="11"/>
      <c r="F79" s="11"/>
    </row>
    <row r="80" spans="1:9" ht="15" thickBot="1" x14ac:dyDescent="0.35"/>
    <row r="81" spans="1:9" x14ac:dyDescent="0.3">
      <c r="A81" s="12"/>
      <c r="B81" s="12" t="s">
        <v>67</v>
      </c>
      <c r="C81" s="12" t="s">
        <v>55</v>
      </c>
      <c r="D81" s="12" t="s">
        <v>68</v>
      </c>
      <c r="E81" s="12" t="s">
        <v>69</v>
      </c>
      <c r="F81" s="12" t="s">
        <v>70</v>
      </c>
      <c r="G81" s="12" t="s">
        <v>71</v>
      </c>
      <c r="H81" s="12" t="s">
        <v>72</v>
      </c>
      <c r="I81" s="12" t="s">
        <v>73</v>
      </c>
    </row>
    <row r="82" spans="1:9" x14ac:dyDescent="0.3">
      <c r="A82" t="s">
        <v>61</v>
      </c>
      <c r="B82">
        <v>-1.6318612559961565E-4</v>
      </c>
      <c r="C82">
        <v>9.8347738786532446E-4</v>
      </c>
      <c r="D82">
        <v>-0.16592768437088057</v>
      </c>
      <c r="E82">
        <v>0.86834959605206752</v>
      </c>
      <c r="F82">
        <v>-2.1002577001282539E-3</v>
      </c>
      <c r="G82">
        <v>1.7738854489290226E-3</v>
      </c>
      <c r="H82">
        <v>-2.1002577001282539E-3</v>
      </c>
      <c r="I82">
        <v>1.7738854489290226E-3</v>
      </c>
    </row>
    <row r="83" spans="1:9" ht="15" thickBot="1" x14ac:dyDescent="0.35">
      <c r="A83" s="11" t="s">
        <v>49</v>
      </c>
      <c r="B83" s="11">
        <v>0.4819733243980403</v>
      </c>
      <c r="C83" s="11">
        <v>8.3626640282186651E-2</v>
      </c>
      <c r="D83" s="11">
        <v>5.7633945686648094</v>
      </c>
      <c r="E83" s="11">
        <v>2.4471133277228607E-8</v>
      </c>
      <c r="F83" s="11">
        <v>0.31726105977184227</v>
      </c>
      <c r="G83" s="11">
        <v>0.64668558902423834</v>
      </c>
      <c r="H83" s="11">
        <v>0.31726105977184227</v>
      </c>
      <c r="I83" s="11">
        <v>0.64668558902423834</v>
      </c>
    </row>
    <row r="87" spans="1:9" x14ac:dyDescent="0.3">
      <c r="A87" s="31" t="s">
        <v>78</v>
      </c>
      <c r="B87" s="31"/>
      <c r="C87" s="31"/>
      <c r="D87" s="31"/>
      <c r="E87" s="31"/>
      <c r="F87" s="31"/>
      <c r="G87" s="31"/>
      <c r="H87" s="31"/>
      <c r="I87" s="31"/>
    </row>
    <row r="88" spans="1:9" ht="15" thickBot="1" x14ac:dyDescent="0.35"/>
    <row r="89" spans="1:9" x14ac:dyDescent="0.3">
      <c r="A89" s="17" t="s">
        <v>51</v>
      </c>
      <c r="B89" s="17"/>
    </row>
    <row r="90" spans="1:9" x14ac:dyDescent="0.3">
      <c r="A90" t="s">
        <v>52</v>
      </c>
      <c r="B90">
        <v>0.1430916081276303</v>
      </c>
    </row>
    <row r="91" spans="1:9" x14ac:dyDescent="0.3">
      <c r="A91" t="s">
        <v>53</v>
      </c>
      <c r="B91">
        <v>2.0475208316551315E-2</v>
      </c>
    </row>
    <row r="92" spans="1:9" x14ac:dyDescent="0.3">
      <c r="A92" t="s">
        <v>54</v>
      </c>
      <c r="B92">
        <v>1.6509520900828849E-2</v>
      </c>
    </row>
    <row r="93" spans="1:9" x14ac:dyDescent="0.3">
      <c r="A93" t="s">
        <v>55</v>
      </c>
      <c r="B93">
        <v>1.1790098239954836E-2</v>
      </c>
    </row>
    <row r="94" spans="1:9" ht="15" thickBot="1" x14ac:dyDescent="0.35">
      <c r="A94" s="11" t="s">
        <v>56</v>
      </c>
      <c r="B94" s="11">
        <v>249</v>
      </c>
    </row>
    <row r="96" spans="1:9" ht="15" thickBot="1" x14ac:dyDescent="0.35">
      <c r="A96" t="s">
        <v>57</v>
      </c>
    </row>
    <row r="97" spans="1:9" x14ac:dyDescent="0.3">
      <c r="A97" s="12"/>
      <c r="B97" s="12" t="s">
        <v>62</v>
      </c>
      <c r="C97" s="12" t="s">
        <v>63</v>
      </c>
      <c r="D97" s="12" t="s">
        <v>64</v>
      </c>
      <c r="E97" s="12" t="s">
        <v>65</v>
      </c>
      <c r="F97" s="12" t="s">
        <v>66</v>
      </c>
    </row>
    <row r="98" spans="1:9" x14ac:dyDescent="0.3">
      <c r="A98" t="s">
        <v>58</v>
      </c>
      <c r="B98">
        <v>1</v>
      </c>
      <c r="C98">
        <v>7.1770289409350818E-4</v>
      </c>
      <c r="D98">
        <v>7.1770289409350818E-4</v>
      </c>
      <c r="E98">
        <v>5.1630918350686912</v>
      </c>
      <c r="F98">
        <v>2.393199474462707E-2</v>
      </c>
    </row>
    <row r="99" spans="1:9" x14ac:dyDescent="0.3">
      <c r="A99" t="s">
        <v>59</v>
      </c>
      <c r="B99">
        <v>247</v>
      </c>
      <c r="C99">
        <v>3.433458487742317E-2</v>
      </c>
      <c r="D99">
        <v>1.3900641650778611E-4</v>
      </c>
    </row>
    <row r="100" spans="1:9" ht="15" thickBot="1" x14ac:dyDescent="0.35">
      <c r="A100" s="11" t="s">
        <v>60</v>
      </c>
      <c r="B100" s="11">
        <v>248</v>
      </c>
      <c r="C100" s="11">
        <v>3.5052287771516678E-2</v>
      </c>
      <c r="D100" s="11"/>
      <c r="E100" s="11"/>
      <c r="F100" s="11"/>
    </row>
    <row r="101" spans="1:9" ht="15" thickBot="1" x14ac:dyDescent="0.35"/>
    <row r="102" spans="1:9" x14ac:dyDescent="0.3">
      <c r="A102" s="12"/>
      <c r="B102" s="12" t="s">
        <v>67</v>
      </c>
      <c r="C102" s="12" t="s">
        <v>55</v>
      </c>
      <c r="D102" s="12" t="s">
        <v>68</v>
      </c>
      <c r="E102" s="12" t="s">
        <v>69</v>
      </c>
      <c r="F102" s="12" t="s">
        <v>70</v>
      </c>
      <c r="G102" s="12" t="s">
        <v>71</v>
      </c>
      <c r="H102" s="12" t="s">
        <v>72</v>
      </c>
      <c r="I102" s="12" t="s">
        <v>73</v>
      </c>
    </row>
    <row r="103" spans="1:9" x14ac:dyDescent="0.3">
      <c r="A103" t="s">
        <v>61</v>
      </c>
      <c r="B103">
        <v>-3.9093887811609196E-4</v>
      </c>
      <c r="C103">
        <v>7.488134285954306E-4</v>
      </c>
      <c r="D103">
        <v>-0.52207781429532651</v>
      </c>
      <c r="E103">
        <v>0.60208403121974563</v>
      </c>
      <c r="F103">
        <v>-1.8658128559570224E-3</v>
      </c>
      <c r="G103">
        <v>1.0839350997248385E-3</v>
      </c>
      <c r="H103">
        <v>-1.8658128559570224E-3</v>
      </c>
      <c r="I103">
        <v>1.0839350997248385E-3</v>
      </c>
    </row>
    <row r="104" spans="1:9" ht="15" thickBot="1" x14ac:dyDescent="0.35">
      <c r="A104" s="11" t="s">
        <v>49</v>
      </c>
      <c r="B104" s="11">
        <v>0.14468010630690009</v>
      </c>
      <c r="C104" s="11">
        <v>6.3672792078668633E-2</v>
      </c>
      <c r="D104" s="11">
        <v>2.272243788652236</v>
      </c>
      <c r="E104" s="11">
        <v>2.3931994744627837E-2</v>
      </c>
      <c r="F104" s="11">
        <v>1.9269235525038231E-2</v>
      </c>
      <c r="G104" s="11">
        <v>0.27009097708876195</v>
      </c>
      <c r="H104" s="11">
        <v>1.9269235525038231E-2</v>
      </c>
      <c r="I104" s="11">
        <v>0.27009097708876195</v>
      </c>
    </row>
    <row r="107" spans="1:9" ht="15" thickBot="1" x14ac:dyDescent="0.35"/>
    <row r="108" spans="1:9" ht="15" thickBot="1" x14ac:dyDescent="0.35">
      <c r="A108" s="26" t="s">
        <v>79</v>
      </c>
      <c r="B108" s="27"/>
      <c r="C108" s="27"/>
      <c r="D108" s="27"/>
      <c r="E108" s="27"/>
      <c r="F108" s="27"/>
      <c r="G108" s="27"/>
      <c r="H108" s="27"/>
      <c r="I108" s="28"/>
    </row>
    <row r="109" spans="1:9" ht="15" thickBot="1" x14ac:dyDescent="0.35"/>
    <row r="110" spans="1:9" ht="15" thickBot="1" x14ac:dyDescent="0.35">
      <c r="A110" s="14" t="s">
        <v>80</v>
      </c>
      <c r="B110" s="18">
        <v>0.15</v>
      </c>
      <c r="D110" s="26" t="s">
        <v>39</v>
      </c>
      <c r="E110" s="27"/>
      <c r="F110" s="27"/>
      <c r="G110" s="27"/>
      <c r="H110" s="27"/>
      <c r="I110" s="28"/>
    </row>
    <row r="111" spans="1:9" ht="15" thickBot="1" x14ac:dyDescent="0.35">
      <c r="A111" s="14" t="s">
        <v>81</v>
      </c>
      <c r="B111" s="8">
        <f t="array" ref="B111">MMULT(MMULT('Task (II) Result'!B20:F20, 'Task (IV) Result'!E113:I117), TRANSPOSE('Task (II) Result'!B20:F20))</f>
        <v>1.2883680976366225E-4</v>
      </c>
    </row>
    <row r="112" spans="1:9" x14ac:dyDescent="0.3">
      <c r="A112" s="14" t="s">
        <v>83</v>
      </c>
      <c r="B112" s="8">
        <f>SQRT(B111)</f>
        <v>1.1350630368559371E-2</v>
      </c>
      <c r="D112" s="12"/>
      <c r="E112" s="12" t="s">
        <v>12</v>
      </c>
      <c r="F112" s="12" t="s">
        <v>13</v>
      </c>
      <c r="G112" s="12" t="s">
        <v>14</v>
      </c>
      <c r="H112" s="12" t="s">
        <v>15</v>
      </c>
      <c r="I112" s="12" t="s">
        <v>16</v>
      </c>
    </row>
    <row r="113" spans="1:9" x14ac:dyDescent="0.3">
      <c r="A113" s="14" t="s">
        <v>84</v>
      </c>
      <c r="B113" s="8">
        <f>B114 * B112 * B115</f>
        <v>18671.786956280164</v>
      </c>
      <c r="D113" t="s">
        <v>12</v>
      </c>
      <c r="E113">
        <f>_xlfn.COVARIANCE.S('Daily Returns'!B2:B250, 'Daily Returns'!$B$2:$B$250)</f>
        <v>4.5587286456124303E-4</v>
      </c>
      <c r="F113">
        <f>_xlfn.COVARIANCE.S('Daily Returns'!C2:C250, 'Daily Returns'!$B$2:$B$250)</f>
        <v>1.108477482534105E-4</v>
      </c>
      <c r="G113">
        <f>_xlfn.COVARIANCE.S('Daily Returns'!D2:D250, 'Daily Returns'!$B$2:$B$250)</f>
        <v>2.4931315819906826E-5</v>
      </c>
      <c r="H113">
        <f>_xlfn.COVARIANCE.S('Daily Returns'!E2:E250, 'Daily Returns'!$B$2:$B$250)</f>
        <v>-4.287900199414884E-6</v>
      </c>
      <c r="I113">
        <f>_xlfn.COVARIANCE.S('Daily Returns'!F2:F250, 'Daily Returns'!$B$2:$B$250)</f>
        <v>8.8970622676425545E-6</v>
      </c>
    </row>
    <row r="114" spans="1:9" x14ac:dyDescent="0.3">
      <c r="A114" s="9" t="s">
        <v>82</v>
      </c>
      <c r="B114" s="20">
        <v>1.645</v>
      </c>
      <c r="D114" t="s">
        <v>13</v>
      </c>
      <c r="E114">
        <f>_xlfn.COVARIANCE.S('Daily Returns'!B2:B250, 'Daily Returns'!$C$2:$C$250)</f>
        <v>1.108477482534105E-4</v>
      </c>
      <c r="F114">
        <f>_xlfn.COVARIANCE.S('Daily Returns'!C2:C250, 'Daily Returns'!$C$2:$C$250)</f>
        <v>2.0442698616157033E-4</v>
      </c>
      <c r="G114">
        <f>_xlfn.COVARIANCE.S('Daily Returns'!D2:D250, 'Daily Returns'!$C$2:$C$250)</f>
        <v>6.2338711283089311E-5</v>
      </c>
      <c r="H114">
        <f>_xlfn.COVARIANCE.S('Daily Returns'!E2:E250, 'Daily Returns'!$C$2:$C$250)</f>
        <v>8.5259026050468387E-5</v>
      </c>
      <c r="I114">
        <f>_xlfn.COVARIANCE.S('Daily Returns'!F2:F250, 'Daily Returns'!$C$2:$C$250)</f>
        <v>6.3948785578562181E-5</v>
      </c>
    </row>
    <row r="115" spans="1:9" x14ac:dyDescent="0.3">
      <c r="A115" s="14" t="s">
        <v>93</v>
      </c>
      <c r="B115" s="20">
        <v>1000000</v>
      </c>
      <c r="D115" t="s">
        <v>14</v>
      </c>
      <c r="E115">
        <f>_xlfn.COVARIANCE.S('Daily Returns'!B2:B250, 'Daily Returns'!$D$2:$D$250)</f>
        <v>2.4931315819906826E-5</v>
      </c>
      <c r="F115">
        <f>_xlfn.COVARIANCE.S('Daily Returns'!C2:C250, 'Daily Returns'!$D$2:$D$250)</f>
        <v>6.2338711283089311E-5</v>
      </c>
      <c r="G115">
        <f>_xlfn.COVARIANCE.S('Daily Returns'!D2:D250, 'Daily Returns'!$D$2:$D$250)</f>
        <v>2.3031693889060949E-4</v>
      </c>
      <c r="H115">
        <f>_xlfn.COVARIANCE.S('Daily Returns'!E2:E250, 'Daily Returns'!$D$2:$D$250)</f>
        <v>6.0505662240320522E-5</v>
      </c>
      <c r="I115">
        <f>_xlfn.COVARIANCE.S('Daily Returns'!F2:F250, 'Daily Returns'!$D$2:$D$250)</f>
        <v>4.0385072977878874E-5</v>
      </c>
    </row>
    <row r="116" spans="1:9" x14ac:dyDescent="0.3">
      <c r="D116" t="s">
        <v>15</v>
      </c>
      <c r="E116">
        <f>_xlfn.COVARIANCE.S('Daily Returns'!B2:B250, 'Daily Returns'!$E$2:$E$250)</f>
        <v>-4.287900199414884E-6</v>
      </c>
      <c r="F116">
        <f>_xlfn.COVARIANCE.S('Daily Returns'!C2:C250, 'Daily Returns'!$E$2:$E$250)</f>
        <v>8.5259026050468387E-5</v>
      </c>
      <c r="G116">
        <f>_xlfn.COVARIANCE.S('Daily Returns'!D2:D250, 'Daily Returns'!$E$2:$E$250)</f>
        <v>6.0505662240320522E-5</v>
      </c>
      <c r="H116">
        <f>_xlfn.COVARIANCE.S('Daily Returns'!E2:E250, 'Daily Returns'!$E$2:$E$250)</f>
        <v>2.7093101083433779E-4</v>
      </c>
      <c r="I116">
        <f>_xlfn.COVARIANCE.S('Daily Returns'!F2:F250, 'Daily Returns'!$E$2:$E$250)</f>
        <v>6.6733027314209704E-5</v>
      </c>
    </row>
    <row r="117" spans="1:9" ht="15" thickBot="1" x14ac:dyDescent="0.35">
      <c r="D117" s="11" t="s">
        <v>16</v>
      </c>
      <c r="E117" s="11">
        <f>_xlfn.COVARIANCE.S('Daily Returns'!B2:B250, 'Daily Returns'!$F$2:$F$250)</f>
        <v>8.8970622676425545E-6</v>
      </c>
      <c r="F117" s="11">
        <f>_xlfn.COVARIANCE.S('Daily Returns'!C2:C250, 'Daily Returns'!$F$2:$F$250)</f>
        <v>6.3948785578562181E-5</v>
      </c>
      <c r="G117" s="11">
        <f>_xlfn.COVARIANCE.S('Daily Returns'!D2:D250, 'Daily Returns'!$F$2:$F$250)</f>
        <v>4.0385072977878874E-5</v>
      </c>
      <c r="H117" s="11">
        <f>_xlfn.COVARIANCE.S('Daily Returns'!E2:E250, 'Daily Returns'!$F$2:$F$250)</f>
        <v>6.6733027314209704E-5</v>
      </c>
      <c r="I117" s="11">
        <f>_xlfn.COVARIANCE.S('Daily Returns'!F2:F250, 'Daily Returns'!$F$2:$F$250)</f>
        <v>1.4133987004643823E-4</v>
      </c>
    </row>
    <row r="119" spans="1:9" ht="15" thickBot="1" x14ac:dyDescent="0.35">
      <c r="B119" s="19"/>
    </row>
    <row r="120" spans="1:9" ht="15" thickBot="1" x14ac:dyDescent="0.35">
      <c r="A120" s="26" t="s">
        <v>85</v>
      </c>
      <c r="B120" s="27"/>
      <c r="C120" s="27"/>
      <c r="D120" s="27"/>
      <c r="E120" s="27"/>
      <c r="F120" s="27"/>
      <c r="G120" s="27"/>
      <c r="H120" s="27"/>
      <c r="I120" s="28"/>
    </row>
    <row r="122" spans="1:9" x14ac:dyDescent="0.3">
      <c r="A122" s="6" t="s">
        <v>94</v>
      </c>
      <c r="B122" s="6" t="s">
        <v>86</v>
      </c>
      <c r="C122" s="21" t="s">
        <v>87</v>
      </c>
      <c r="D122" s="6" t="s">
        <v>88</v>
      </c>
      <c r="E122" s="6" t="s">
        <v>95</v>
      </c>
      <c r="F122" s="30" t="s">
        <v>96</v>
      </c>
      <c r="G122" s="30"/>
    </row>
    <row r="123" spans="1:9" x14ac:dyDescent="0.3">
      <c r="A123" s="14" t="s">
        <v>89</v>
      </c>
      <c r="B123" s="8">
        <f t="array" ref="B123:B127">MMULT(E113:I117, TRANSPOSE('Task (II) Result'!B20:F20))</f>
        <v>1.8284064279885256E-4</v>
      </c>
      <c r="C123" s="22">
        <f>B123/$B$112</f>
        <v>1.6108413089136547E-2</v>
      </c>
      <c r="D123" s="8">
        <f>'Task (II) Result'!$B$20*'Task (IV) Result'!C123</f>
        <v>5.1644273431932231E-3</v>
      </c>
      <c r="E123" s="8">
        <f>$B$114*D123*$B$115</f>
        <v>8495.4829795528531</v>
      </c>
      <c r="F123" s="29">
        <f>E123/$E$128</f>
        <v>0.45499035520515291</v>
      </c>
      <c r="G123" s="29"/>
    </row>
    <row r="124" spans="1:9" x14ac:dyDescent="0.3">
      <c r="A124" s="14" t="s">
        <v>90</v>
      </c>
      <c r="B124" s="8">
        <v>1.1780878669359131E-4</v>
      </c>
      <c r="C124" s="22">
        <f>B124/$B$112</f>
        <v>1.0379052340556806E-2</v>
      </c>
      <c r="D124" s="8">
        <f>'Task (II) Result'!$C$20*'Task (IV) Result'!C124</f>
        <v>2.7452614403679966E-3</v>
      </c>
      <c r="E124" s="8">
        <f t="shared" ref="E124:E127" si="0">$B$114*D124*$B$115</f>
        <v>4515.9550694053542</v>
      </c>
      <c r="F124" s="29">
        <f t="shared" ref="F124:F127" si="1">E124/$E$128</f>
        <v>0.241859821985942</v>
      </c>
      <c r="G124" s="29"/>
    </row>
    <row r="125" spans="1:9" x14ac:dyDescent="0.3">
      <c r="A125" s="14" t="s">
        <v>91</v>
      </c>
      <c r="B125" s="8">
        <v>1.0273604009202403E-4</v>
      </c>
      <c r="C125" s="22">
        <f>B125/$B$112</f>
        <v>9.0511307968055479E-3</v>
      </c>
      <c r="D125" s="8">
        <f>'Task (II) Result'!$D$20*'Task (IV) Result'!C125</f>
        <v>2.8329984337515297E-3</v>
      </c>
      <c r="E125" s="8">
        <f t="shared" si="0"/>
        <v>4660.2824235212665</v>
      </c>
      <c r="F125" s="29">
        <f t="shared" si="1"/>
        <v>0.24958952426102973</v>
      </c>
      <c r="G125" s="29"/>
    </row>
    <row r="126" spans="1:9" x14ac:dyDescent="0.3">
      <c r="A126" s="14" t="s">
        <v>92</v>
      </c>
      <c r="B126" s="8">
        <v>6.7721346565042693E-5</v>
      </c>
      <c r="C126" s="22">
        <f>B126/$B$112</f>
        <v>5.9663071006723243E-3</v>
      </c>
      <c r="D126" s="8">
        <f>'Task (II) Result'!$E$20*'Task (IV) Result'!C126</f>
        <v>6.07943151246622E-4</v>
      </c>
      <c r="E126" s="8">
        <f t="shared" si="0"/>
        <v>1000.0664838006933</v>
      </c>
      <c r="F126" s="29">
        <f t="shared" si="1"/>
        <v>5.3560298547875508E-2</v>
      </c>
      <c r="G126" s="29"/>
    </row>
    <row r="127" spans="1:9" x14ac:dyDescent="0.3">
      <c r="A127" s="14" t="s">
        <v>93</v>
      </c>
      <c r="B127" s="8">
        <v>3.9207239025699914E-5</v>
      </c>
      <c r="C127" s="22">
        <f>B127/$B$112</f>
        <v>3.454190450453028E-3</v>
      </c>
      <c r="D127" s="8">
        <f>'Task (II) Result'!$F$20*'Task (IV) Result'!C127</f>
        <v>0</v>
      </c>
      <c r="E127" s="8">
        <f t="shared" si="0"/>
        <v>0</v>
      </c>
      <c r="F127" s="29">
        <f t="shared" si="1"/>
        <v>0</v>
      </c>
      <c r="G127" s="29"/>
    </row>
    <row r="128" spans="1:9" x14ac:dyDescent="0.3">
      <c r="D128" s="6">
        <f>SUM(D123:D127)</f>
        <v>1.1350630368559371E-2</v>
      </c>
      <c r="E128" s="6">
        <f>SUM(E123:E127)</f>
        <v>18671.786956280164</v>
      </c>
    </row>
  </sheetData>
  <mergeCells count="15">
    <mergeCell ref="A108:I108"/>
    <mergeCell ref="D110:I110"/>
    <mergeCell ref="A120:I120"/>
    <mergeCell ref="F122:G122"/>
    <mergeCell ref="A1:I1"/>
    <mergeCell ref="A3:I3"/>
    <mergeCell ref="A24:I24"/>
    <mergeCell ref="A45:I45"/>
    <mergeCell ref="A66:I66"/>
    <mergeCell ref="A87:I87"/>
    <mergeCell ref="F123:G123"/>
    <mergeCell ref="F124:G124"/>
    <mergeCell ref="F125:G125"/>
    <mergeCell ref="F126:G126"/>
    <mergeCell ref="F127:G12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NFLX</vt:lpstr>
      <vt:lpstr>V</vt:lpstr>
      <vt:lpstr>XOM</vt:lpstr>
      <vt:lpstr>PFE</vt:lpstr>
      <vt:lpstr>PG</vt:lpstr>
      <vt:lpstr>S&amp;P 500</vt:lpstr>
      <vt:lpstr>Prices</vt:lpstr>
      <vt:lpstr>Daily Returns</vt:lpstr>
      <vt:lpstr>Task (I) Result</vt:lpstr>
      <vt:lpstr>Task (II) Result</vt:lpstr>
      <vt:lpstr>Task (III) Result</vt:lpstr>
      <vt:lpstr>Task (IV) Result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yagnesh vaghasiya</cp:lastModifiedBy>
  <dcterms:created xsi:type="dcterms:W3CDTF">2026-01-12T07:18:37Z</dcterms:created>
  <dcterms:modified xsi:type="dcterms:W3CDTF">2026-01-16T13:17:47Z</dcterms:modified>
</cp:coreProperties>
</file>